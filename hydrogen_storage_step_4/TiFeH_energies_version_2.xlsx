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<sst xmlns="http://schemas.openxmlformats.org/spreadsheetml/2006/main" count="119" uniqueCount="67">
  <si>
    <t xml:space="preserve">Rostislaw</t>
  </si>
  <si>
    <t xml:space="preserve">Material:</t>
  </si>
  <si>
    <t xml:space="preserve">Initial H position</t>
  </si>
  <si>
    <t xml:space="preserve">Final H position</t>
  </si>
  <si>
    <t xml:space="preserve">Volume (a.u.^3)</t>
  </si>
  <si>
    <t xml:space="preserve">Volume change (%)</t>
  </si>
  <si>
    <t xml:space="preserve">Total energy (Ry)</t>
  </si>
  <si>
    <t xml:space="preserve">Formation energy (Ry) per H</t>
  </si>
  <si>
    <t xml:space="preserve">Capacity (wt%)</t>
  </si>
  <si>
    <t xml:space="preserve"># H</t>
  </si>
  <si>
    <t xml:space="preserve">TiFe</t>
  </si>
  <si>
    <t xml:space="preserve">/</t>
  </si>
  <si>
    <t xml:space="preserve">H</t>
  </si>
  <si>
    <t xml:space="preserve">(0, 0, 0)</t>
  </si>
  <si>
    <t xml:space="preserve">TiFeH (3c)</t>
  </si>
  <si>
    <t xml:space="preserve">(½, ½, 0)</t>
  </si>
  <si>
    <t xml:space="preserve">TiFeH (3d)</t>
  </si>
  <si>
    <t xml:space="preserve">(½, 0, 0)</t>
  </si>
  <si>
    <t xml:space="preserve">TiFeH (8g)</t>
  </si>
  <si>
    <t xml:space="preserve">(¼, ¼, ¼)</t>
  </si>
  <si>
    <t xml:space="preserve">(0.2962976960, 0.2108463065, 0.2739434331)</t>
  </si>
  <si>
    <t xml:space="preserve">TiFeH (6f)</t>
  </si>
  <si>
    <t xml:space="preserve">(½, ½, ¼)</t>
  </si>
  <si>
    <t xml:space="preserve">(0.5000000214, 0.4999999882 , 0.0833383715)</t>
  </si>
  <si>
    <t xml:space="preserve">TiFeH (12j)</t>
  </si>
  <si>
    <t xml:space="preserve">(½, ¼, ¼)</t>
  </si>
  <si>
    <t xml:space="preserve">(0.5000000020, 0.1578861865, 0.1578869351)</t>
  </si>
  <si>
    <t xml:space="preserve">TiFeH (24l)</t>
  </si>
  <si>
    <t xml:space="preserve">(½, 0.12, 0.24)</t>
  </si>
  <si>
    <t xml:space="preserve">(0.5000000048, 0.0399873025, 0.4133754946)</t>
  </si>
  <si>
    <t xml:space="preserve">TiFeH (24m)</t>
  </si>
  <si>
    <t xml:space="preserve">(0.12, 0.12, 0.24)</t>
  </si>
  <si>
    <t xml:space="preserve">(0.1145379242 , 0.1145379235, 0.4133774911)</t>
  </si>
  <si>
    <t xml:space="preserve">TiFeH (48n)</t>
  </si>
  <si>
    <t xml:space="preserve">(0.12, 0.24, 0.36)</t>
  </si>
  <si>
    <t xml:space="preserve">(0.0400113755, 0.4133494315, 0.4532998194)</t>
  </si>
  <si>
    <t xml:space="preserve">Bjorn</t>
  </si>
  <si>
    <t xml:space="preserve">TiFeH (3c) x</t>
  </si>
  <si>
    <t xml:space="preserve">(0, ½, ½)</t>
  </si>
  <si>
    <t xml:space="preserve">no change</t>
  </si>
  <si>
    <t xml:space="preserve">TiFeH (3c) y</t>
  </si>
  <si>
    <t xml:space="preserve">(½, 0, ½)</t>
  </si>
  <si>
    <t xml:space="preserve">"</t>
  </si>
  <si>
    <t xml:space="preserve">TiFeH (3c) z</t>
  </si>
  <si>
    <t xml:space="preserve">TiFeH2 (3c) xy</t>
  </si>
  <si>
    <t xml:space="preserve">(½, ½, 0) x2</t>
  </si>
  <si>
    <t xml:space="preserve">TiFeH2 (3c) xz</t>
  </si>
  <si>
    <t xml:space="preserve">TiFeH2 (3c) yz</t>
  </si>
  <si>
    <t xml:space="preserve">TiFeH3 (3c) xyz</t>
  </si>
  <si>
    <t xml:space="preserve">(½, ½, 0) x3</t>
  </si>
  <si>
    <t xml:space="preserve">TiFeH (3d) x</t>
  </si>
  <si>
    <t xml:space="preserve">TiFeH (3d) y</t>
  </si>
  <si>
    <t xml:space="preserve">(0, ½, 0)</t>
  </si>
  <si>
    <t xml:space="preserve">TiFeH (3d) z</t>
  </si>
  <si>
    <t xml:space="preserve">(0, 0, ½)</t>
  </si>
  <si>
    <t xml:space="preserve">TiFeH2 (3d) xy</t>
  </si>
  <si>
    <t xml:space="preserve">(½, 0, 0) x2</t>
  </si>
  <si>
    <t xml:space="preserve">TiFeH2 (3d) xz</t>
  </si>
  <si>
    <t xml:space="preserve">TiFeH2 (3d) yz</t>
  </si>
  <si>
    <t xml:space="preserve">TiFeH3 (3d) xyz</t>
  </si>
  <si>
    <t xml:space="preserve">(½, 0, 0) x3</t>
  </si>
  <si>
    <t xml:space="preserve">convergence test verification</t>
  </si>
  <si>
    <t xml:space="preserve">energy difference (compared to lower k calculations)</t>
  </si>
  <si>
    <t xml:space="preserve">k=18</t>
  </si>
  <si>
    <t xml:space="preserve">k=21</t>
  </si>
  <si>
    <t xml:space="preserve">k=21, wfc=150, rho=2000</t>
  </si>
  <si>
    <t xml:space="preserve">Fixed volume "relax"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</si>
</sst>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289440</xdr:colOff>
      <xdr:row>14</xdr:row>
      <xdr:rowOff>60840</xdr:rowOff>
    </xdr:from>
    <xdr:to>
      <xdr:col>12</xdr:col>
      <xdr:colOff>127440</xdr:colOff>
      <xdr:row>22</xdr:row>
      <xdr:rowOff>29880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15709320" y="2327760"/>
          <a:ext cx="1467360" cy="1264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12</xdr:col>
      <xdr:colOff>53280</xdr:colOff>
      <xdr:row>14</xdr:row>
      <xdr:rowOff>30600</xdr:rowOff>
    </xdr:from>
    <xdr:to>
      <xdr:col>13</xdr:col>
      <xdr:colOff>616680</xdr:colOff>
      <xdr:row>21</xdr:row>
      <xdr:rowOff>69120</xdr:rowOff>
    </xdr:to>
    <xdr:pic>
      <xdr:nvPicPr>
        <xdr:cNvPr id="1" name="Picture 2" descr=""/>
        <xdr:cNvPicPr/>
      </xdr:nvPicPr>
      <xdr:blipFill>
        <a:blip r:embed="rId2"/>
        <a:stretch/>
      </xdr:blipFill>
      <xdr:spPr>
        <a:xfrm>
          <a:off x="17102520" y="2297520"/>
          <a:ext cx="1378080" cy="1172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13</xdr:col>
      <xdr:colOff>464760</xdr:colOff>
      <xdr:row>14</xdr:row>
      <xdr:rowOff>23040</xdr:rowOff>
    </xdr:from>
    <xdr:to>
      <xdr:col>15</xdr:col>
      <xdr:colOff>129240</xdr:colOff>
      <xdr:row>21</xdr:row>
      <xdr:rowOff>69480</xdr:rowOff>
    </xdr:to>
    <xdr:pic>
      <xdr:nvPicPr>
        <xdr:cNvPr id="2" name="Picture 3" descr=""/>
        <xdr:cNvPicPr/>
      </xdr:nvPicPr>
      <xdr:blipFill>
        <a:blip r:embed="rId3"/>
        <a:stretch/>
      </xdr:blipFill>
      <xdr:spPr>
        <a:xfrm>
          <a:off x="18328680" y="2289960"/>
          <a:ext cx="1293840" cy="1180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10</xdr:col>
      <xdr:colOff>320040</xdr:colOff>
      <xdr:row>22</xdr:row>
      <xdr:rowOff>83880</xdr:rowOff>
    </xdr:from>
    <xdr:to>
      <xdr:col>12</xdr:col>
      <xdr:colOff>48600</xdr:colOff>
      <xdr:row>29</xdr:row>
      <xdr:rowOff>121680</xdr:rowOff>
    </xdr:to>
    <xdr:pic>
      <xdr:nvPicPr>
        <xdr:cNvPr id="3" name="Picture 4" descr=""/>
        <xdr:cNvPicPr/>
      </xdr:nvPicPr>
      <xdr:blipFill>
        <a:blip r:embed="rId4"/>
        <a:stretch/>
      </xdr:blipFill>
      <xdr:spPr>
        <a:xfrm>
          <a:off x="15739920" y="3646080"/>
          <a:ext cx="1357920" cy="1171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11</xdr:col>
      <xdr:colOff>739080</xdr:colOff>
      <xdr:row>22</xdr:row>
      <xdr:rowOff>99000</xdr:rowOff>
    </xdr:from>
    <xdr:to>
      <xdr:col>13</xdr:col>
      <xdr:colOff>449280</xdr:colOff>
      <xdr:row>29</xdr:row>
      <xdr:rowOff>131400</xdr:rowOff>
    </xdr:to>
    <xdr:pic>
      <xdr:nvPicPr>
        <xdr:cNvPr id="4" name="Picture 5" descr=""/>
        <xdr:cNvPicPr/>
      </xdr:nvPicPr>
      <xdr:blipFill>
        <a:blip r:embed="rId5"/>
        <a:stretch/>
      </xdr:blipFill>
      <xdr:spPr>
        <a:xfrm>
          <a:off x="16973640" y="3661200"/>
          <a:ext cx="1339560" cy="1166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13</xdr:col>
      <xdr:colOff>373320</xdr:colOff>
      <xdr:row>23</xdr:row>
      <xdr:rowOff>45720</xdr:rowOff>
    </xdr:from>
    <xdr:to>
      <xdr:col>15</xdr:col>
      <xdr:colOff>39600</xdr:colOff>
      <xdr:row>30</xdr:row>
      <xdr:rowOff>106200</xdr:rowOff>
    </xdr:to>
    <xdr:pic>
      <xdr:nvPicPr>
        <xdr:cNvPr id="5" name="Picture 6" descr=""/>
        <xdr:cNvPicPr/>
      </xdr:nvPicPr>
      <xdr:blipFill>
        <a:blip r:embed="rId6"/>
        <a:stretch/>
      </xdr:blipFill>
      <xdr:spPr>
        <a:xfrm>
          <a:off x="18237240" y="3769920"/>
          <a:ext cx="1295640" cy="1194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41400</xdr:colOff>
      <xdr:row>46</xdr:row>
      <xdr:rowOff>138600</xdr:rowOff>
    </xdr:from>
    <xdr:to>
      <xdr:col>3</xdr:col>
      <xdr:colOff>2124000</xdr:colOff>
      <xdr:row>77</xdr:row>
      <xdr:rowOff>20160</xdr:rowOff>
    </xdr:to>
    <xdr:pic>
      <xdr:nvPicPr>
        <xdr:cNvPr id="6" name="Picture 7" descr=""/>
        <xdr:cNvPicPr/>
      </xdr:nvPicPr>
      <xdr:blipFill>
        <a:blip r:embed="rId7"/>
        <a:stretch/>
      </xdr:blipFill>
      <xdr:spPr>
        <a:xfrm>
          <a:off x="1913400" y="7587000"/>
          <a:ext cx="6021360" cy="4901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true" showOutlineSymbols="true" defaultGridColor="true" view="normal" topLeftCell="A1" colorId="64" zoomScale="103" zoomScaleNormal="103" zoomScalePageLayoutView="100" workbookViewId="0">
      <selection pane="topLeft" activeCell="C18" activeCellId="0" sqref="C18"/>
    </sheetView>
  </sheetViews>
  <sheetFormatPr defaultColWidth="11.5625" defaultRowHeight="12.75" customHeight="true" zeroHeight="false" outlineLevelRow="0" outlineLevelCol="0"/>
  <cols>
    <col collapsed="false" customWidth="true" hidden="false" outlineLevel="0" max="1" min="1" style="0" width="26.56"/>
    <col collapsed="false" customWidth="true" hidden="false" outlineLevel="0" max="2" min="2" style="0" width="14"/>
    <col collapsed="false" customWidth="true" hidden="false" outlineLevel="0" max="3" min="3" style="0" width="41.88"/>
    <col collapsed="false" customWidth="true" hidden="false" outlineLevel="0" max="4" min="4" style="0" width="40"/>
    <col collapsed="false" customWidth="true" hidden="false" outlineLevel="0" max="5" min="5" style="0" width="13.88"/>
    <col collapsed="false" customWidth="true" hidden="false" outlineLevel="0" max="6" min="6" style="0" width="17.33"/>
    <col collapsed="false" customWidth="true" hidden="false" outlineLevel="0" max="7" min="7" style="0" width="15.22"/>
    <col collapsed="false" customWidth="true" hidden="false" outlineLevel="0" max="8" min="8" style="0" width="24.78"/>
    <col collapsed="false" customWidth="true" hidden="false" outlineLevel="0" max="9" min="9" style="0" width="13.56"/>
  </cols>
  <sheetData>
    <row r="1" customFormat="false" ht="12.75" hidden="false" customHeight="false" outlineLevel="0" collapsed="false"/>
    <row r="2" customFormat="false" ht="12.75" hidden="false" customHeight="false" outlineLevel="0" collapsed="false"/>
    <row r="3" customFormat="false" ht="12.75" hidden="false" customHeight="false" outlineLevel="0" collapsed="false">
      <c r="A3" s="0" t="s">
        <v>0</v>
      </c>
      <c r="B3" s="0" t="s">
        <v>1</v>
      </c>
      <c r="C3" s="0" t="s">
        <v>2</v>
      </c>
      <c r="D3" s="0" t="s">
        <v>3</v>
      </c>
      <c r="E3" s="0" t="s">
        <v>4</v>
      </c>
      <c r="F3" s="0" t="s">
        <v>5</v>
      </c>
      <c r="G3" s="0" t="s">
        <v>6</v>
      </c>
      <c r="H3" s="0" t="s">
        <v>7</v>
      </c>
      <c r="I3" s="0" t="s">
        <v>8</v>
      </c>
      <c r="J3" s="0" t="s">
        <v>9</v>
      </c>
    </row>
    <row r="4" customFormat="false" ht="12.75" hidden="false" customHeight="true" outlineLevel="0" collapsed="false">
      <c r="B4" s="0" t="s">
        <v>10</v>
      </c>
      <c r="C4" s="0" t="s">
        <v>11</v>
      </c>
      <c r="D4" s="0" t="s">
        <v>11</v>
      </c>
      <c r="E4" s="0" t="n">
        <v>173.9675</v>
      </c>
      <c r="G4" s="0" t="n">
        <v>-448.58686914</v>
      </c>
    </row>
    <row r="5" customFormat="false" ht="12.75" hidden="false" customHeight="false" outlineLevel="0" collapsed="false">
      <c r="B5" s="0" t="s">
        <v>12</v>
      </c>
      <c r="C5" s="1" t="s">
        <v>13</v>
      </c>
      <c r="D5" s="0" t="s">
        <v>13</v>
      </c>
      <c r="E5" s="0" t="n">
        <v>20.31028</v>
      </c>
      <c r="G5" s="0" t="n">
        <v>-1.01676156</v>
      </c>
    </row>
    <row r="6" customFormat="false" ht="12.75" hidden="false" customHeight="false" outlineLevel="0" collapsed="false"/>
    <row r="7" customFormat="false" ht="12.75" hidden="false" customHeight="false" outlineLevel="0" collapsed="false">
      <c r="B7" s="0" t="s">
        <v>14</v>
      </c>
      <c r="C7" s="0" t="s">
        <v>15</v>
      </c>
      <c r="D7" s="0" t="s">
        <v>15</v>
      </c>
      <c r="E7" s="0" t="n">
        <v>191.34049</v>
      </c>
      <c r="F7" s="0" t="n">
        <f aca="false">E7/$E$4*100 - 100</f>
        <v>9.98634227657465</v>
      </c>
      <c r="G7" s="0" t="n">
        <v>-449.75333069</v>
      </c>
      <c r="H7" s="0" t="n">
        <f aca="false">G7 - G$4 - G$5</f>
        <v>-0.149699990000008</v>
      </c>
      <c r="I7" s="0" t="n">
        <f aca="false">1.00784 / (1.00784 + 58.6934 + 47.867) * 100</f>
        <v>0.936930826422372</v>
      </c>
      <c r="J7" s="0" t="n">
        <v>1</v>
      </c>
    </row>
    <row r="8" customFormat="false" ht="12.75" hidden="false" customHeight="false" outlineLevel="0" collapsed="false">
      <c r="B8" s="0" t="s">
        <v>16</v>
      </c>
      <c r="C8" s="0" t="s">
        <v>17</v>
      </c>
      <c r="D8" s="0" t="s">
        <v>17</v>
      </c>
      <c r="E8" s="0" t="n">
        <v>188.93904</v>
      </c>
      <c r="F8" s="0" t="n">
        <f aca="false">E8/$E$4*100 - 100</f>
        <v>8.60594076479802</v>
      </c>
      <c r="G8" s="0" t="n">
        <v>-449.71685496</v>
      </c>
      <c r="H8" s="0" t="n">
        <f aca="false">G8 - G$4 - G$5</f>
        <v>-0.113224260000002</v>
      </c>
      <c r="I8" s="0" t="n">
        <f aca="false">1.00784 / (1.00784 + 58.6934 + 47.867) * 100</f>
        <v>0.936930826422372</v>
      </c>
      <c r="J8" s="0" t="n">
        <v>1</v>
      </c>
    </row>
    <row r="9" customFormat="false" ht="12.75" hidden="false" customHeight="false" outlineLevel="0" collapsed="false">
      <c r="B9" s="0" t="s">
        <v>18</v>
      </c>
      <c r="C9" s="0" t="s">
        <v>19</v>
      </c>
      <c r="D9" s="0" t="s">
        <v>20</v>
      </c>
      <c r="E9" s="0" t="n">
        <v>193.20731</v>
      </c>
      <c r="F9" s="0" t="n">
        <f aca="false">E9/$E$4*100 - 100</f>
        <v>11.0594277666806</v>
      </c>
      <c r="G9" s="0" t="n">
        <v>-449.70492107</v>
      </c>
      <c r="H9" s="0" t="n">
        <f aca="false">G9 - G$4 - G$5</f>
        <v>-0.101290370000036</v>
      </c>
      <c r="I9" s="0" t="n">
        <f aca="false">1.00784 / (1.00784 + 58.6934 + 47.867) * 100</f>
        <v>0.936930826422372</v>
      </c>
      <c r="J9" s="0" t="n">
        <v>1</v>
      </c>
    </row>
    <row r="10" customFormat="false" ht="12.75" hidden="false" customHeight="false" outlineLevel="0" collapsed="false">
      <c r="B10" s="0" t="s">
        <v>21</v>
      </c>
      <c r="C10" s="0" t="s">
        <v>22</v>
      </c>
      <c r="D10" s="0" t="s">
        <v>23</v>
      </c>
      <c r="E10" s="0" t="n">
        <v>191.34566</v>
      </c>
      <c r="F10" s="0" t="n">
        <f aca="false">E10/$E$4*100 - 100</f>
        <v>9.98931409602368</v>
      </c>
      <c r="G10" s="0" t="n">
        <v>-449.75333074</v>
      </c>
      <c r="H10" s="0" t="n">
        <f aca="false">G10 - G$4 - G$5</f>
        <v>-0.149700040000048</v>
      </c>
      <c r="I10" s="0" t="n">
        <f aca="false">1.00784 / (1.00784 + 58.6934 + 47.867) * 100</f>
        <v>0.936930826422372</v>
      </c>
      <c r="J10" s="0" t="n">
        <v>1</v>
      </c>
    </row>
    <row r="11" customFormat="false" ht="12.75" hidden="false" customHeight="false" outlineLevel="0" collapsed="false">
      <c r="B11" s="0" t="s">
        <v>24</v>
      </c>
      <c r="C11" s="0" t="s">
        <v>25</v>
      </c>
      <c r="D11" s="0" t="s">
        <v>26</v>
      </c>
      <c r="E11" s="0" t="n">
        <v>191.58015</v>
      </c>
      <c r="F11" s="0" t="n">
        <f aca="false">E11/$E$4*100 - 100</f>
        <v>10.1241036400477</v>
      </c>
      <c r="G11" s="0" t="n">
        <v>-449.72449935</v>
      </c>
      <c r="H11" s="0" t="n">
        <f aca="false">G11 - G$4 - G$5</f>
        <v>-0.120868649999998</v>
      </c>
      <c r="I11" s="0" t="n">
        <f aca="false">1.00784 / (1.00784 + 58.6934 + 47.867) * 100</f>
        <v>0.936930826422372</v>
      </c>
      <c r="J11" s="0" t="n">
        <v>1</v>
      </c>
    </row>
    <row r="12" customFormat="false" ht="12.75" hidden="false" customHeight="false" outlineLevel="0" collapsed="false">
      <c r="B12" s="0" t="s">
        <v>27</v>
      </c>
      <c r="C12" s="0" t="s">
        <v>28</v>
      </c>
      <c r="D12" s="0" t="s">
        <v>29</v>
      </c>
      <c r="E12" s="0" t="n">
        <v>191.3478</v>
      </c>
      <c r="F12" s="0" t="n">
        <f aca="false">E12/$E$4*100 - 100</f>
        <v>9.99054421084398</v>
      </c>
      <c r="G12" s="0" t="n">
        <v>-449.75333071</v>
      </c>
      <c r="H12" s="0" t="n">
        <f aca="false">G12 - G$4 - G$5</f>
        <v>-0.149700010000024</v>
      </c>
      <c r="I12" s="0" t="n">
        <f aca="false">1.00784 / (1.00784 + 58.6934 + 47.867) * 100</f>
        <v>0.936930826422372</v>
      </c>
      <c r="J12" s="0" t="n">
        <v>1</v>
      </c>
    </row>
    <row r="13" customFormat="false" ht="12.75" hidden="false" customHeight="true" outlineLevel="0" collapsed="false">
      <c r="B13" s="0" t="s">
        <v>30</v>
      </c>
      <c r="C13" s="0" t="s">
        <v>31</v>
      </c>
      <c r="D13" s="0" t="s">
        <v>32</v>
      </c>
      <c r="E13" s="0" t="n">
        <v>191.58214</v>
      </c>
      <c r="F13" s="0" t="n">
        <f aca="false">E13/$E$4*100 - 100</f>
        <v>10.1252475318666</v>
      </c>
      <c r="G13" s="0" t="n">
        <v>-449.72449882</v>
      </c>
      <c r="H13" s="0" t="n">
        <f aca="false">G13 - G$4 - G$5</f>
        <v>-0.120868120000032</v>
      </c>
      <c r="I13" s="0" t="n">
        <f aca="false">1.00784 / (1.00784 + 58.6934 + 47.867) * 100</f>
        <v>0.936930826422372</v>
      </c>
      <c r="J13" s="0" t="n">
        <v>1</v>
      </c>
    </row>
    <row r="14" customFormat="false" ht="12.75" hidden="false" customHeight="true" outlineLevel="0" collapsed="false">
      <c r="B14" s="0" t="s">
        <v>33</v>
      </c>
      <c r="C14" s="0" t="s">
        <v>34</v>
      </c>
      <c r="D14" s="0" t="s">
        <v>35</v>
      </c>
      <c r="E14" s="0" t="n">
        <v>191.33847</v>
      </c>
      <c r="F14" s="0" t="n">
        <f aca="false">E14/$E$4*100 - 100</f>
        <v>9.9851811401555</v>
      </c>
      <c r="G14" s="0" t="n">
        <v>-449.7533306</v>
      </c>
      <c r="H14" s="0" t="n">
        <f aca="false">G14 - G$4 - G$5</f>
        <v>-0.149699900000051</v>
      </c>
      <c r="I14" s="0" t="n">
        <f aca="false">1.00784 / (1.00784 + 58.6934 + 47.867) * 100</f>
        <v>0.936930826422372</v>
      </c>
      <c r="J14" s="0" t="n">
        <v>1</v>
      </c>
    </row>
    <row r="16" customFormat="false" ht="12.75" hidden="false" customHeight="true" outlineLevel="0" collapsed="false">
      <c r="A16" s="0" t="s">
        <v>36</v>
      </c>
      <c r="B16" s="0" t="s">
        <v>37</v>
      </c>
      <c r="C16" s="0" t="s">
        <v>38</v>
      </c>
      <c r="D16" s="0" t="s">
        <v>39</v>
      </c>
      <c r="E16" s="0" t="n">
        <v>191.34687</v>
      </c>
      <c r="F16" s="0" t="n">
        <f aca="false">E16/$E$4*100 - 100</f>
        <v>9.99000962823516</v>
      </c>
      <c r="G16" s="0" t="n">
        <v>-449.75333073</v>
      </c>
      <c r="H16" s="0" t="n">
        <f aca="false">(G16 - G$4 - G$5)/J16</f>
        <v>-0.14970003000004</v>
      </c>
      <c r="J16" s="0" t="n">
        <v>1</v>
      </c>
    </row>
    <row r="17" customFormat="false" ht="12.75" hidden="false" customHeight="true" outlineLevel="0" collapsed="false">
      <c r="B17" s="0" t="s">
        <v>40</v>
      </c>
      <c r="C17" s="0" t="s">
        <v>41</v>
      </c>
      <c r="D17" s="0" t="s">
        <v>42</v>
      </c>
      <c r="E17" s="0" t="n">
        <v>191.34048</v>
      </c>
      <c r="F17" s="0" t="n">
        <f aca="false">E17/$E$4*100 - 100</f>
        <v>9.98633652837455</v>
      </c>
      <c r="G17" s="0" t="n">
        <v>-449.75333066</v>
      </c>
      <c r="H17" s="0" t="n">
        <f aca="false">(G17 - G$4 - G$5)/J17</f>
        <v>-0.149699960000041</v>
      </c>
      <c r="J17" s="0" t="n">
        <v>1</v>
      </c>
    </row>
    <row r="18" customFormat="false" ht="12.75" hidden="false" customHeight="true" outlineLevel="0" collapsed="false">
      <c r="B18" s="0" t="s">
        <v>43</v>
      </c>
      <c r="C18" s="0" t="s">
        <v>15</v>
      </c>
      <c r="D18" s="0" t="s">
        <v>42</v>
      </c>
      <c r="E18" s="0" t="n">
        <v>191.34046</v>
      </c>
      <c r="F18" s="0" t="n">
        <f aca="false">E18/$E$4*100 - 100</f>
        <v>9.98632503197436</v>
      </c>
      <c r="G18" s="0" t="n">
        <v>-449.75333069</v>
      </c>
      <c r="H18" s="0" t="n">
        <f aca="false">(G18 - G$4 - G$5)/J18</f>
        <v>-0.149699990000008</v>
      </c>
      <c r="J18" s="0" t="n">
        <v>1</v>
      </c>
    </row>
    <row r="19" customFormat="false" ht="12.75" hidden="false" customHeight="true" outlineLevel="0" collapsed="false">
      <c r="B19" s="0" t="s">
        <v>44</v>
      </c>
      <c r="C19" s="0" t="s">
        <v>45</v>
      </c>
      <c r="D19" s="0" t="s">
        <v>42</v>
      </c>
      <c r="E19" s="0" t="n">
        <v>207.91506</v>
      </c>
      <c r="F19" s="0" t="n">
        <f aca="false">E19/$E$4*100 - 100</f>
        <v>19.5137367611767</v>
      </c>
      <c r="G19" s="0" t="n">
        <v>-450.92252313</v>
      </c>
      <c r="H19" s="0" t="n">
        <f aca="false">(G19 - G$4 - G$5)/J19</f>
        <v>-0.659446215000013</v>
      </c>
      <c r="J19" s="0" t="n">
        <v>2</v>
      </c>
    </row>
    <row r="20" customFormat="false" ht="12.75" hidden="false" customHeight="true" outlineLevel="0" collapsed="false">
      <c r="B20" s="0" t="s">
        <v>46</v>
      </c>
      <c r="C20" s="0" t="s">
        <v>45</v>
      </c>
      <c r="D20" s="0" t="s">
        <v>42</v>
      </c>
      <c r="E20" s="0" t="n">
        <v>207.91433</v>
      </c>
      <c r="F20" s="0" t="n">
        <f aca="false">E20/$E$4*100 - 100</f>
        <v>19.5133171425697</v>
      </c>
      <c r="G20" s="0" t="n">
        <v>-450.92252314</v>
      </c>
      <c r="H20" s="0" t="n">
        <f aca="false">(G20 - G$4 - G$5)/J20</f>
        <v>-0.659446220000017</v>
      </c>
      <c r="J20" s="0" t="n">
        <v>2</v>
      </c>
    </row>
    <row r="21" customFormat="false" ht="12.75" hidden="false" customHeight="true" outlineLevel="0" collapsed="false">
      <c r="B21" s="0" t="s">
        <v>47</v>
      </c>
      <c r="C21" s="0" t="s">
        <v>45</v>
      </c>
      <c r="D21" s="0" t="s">
        <v>42</v>
      </c>
      <c r="E21" s="0" t="n">
        <v>207.9151</v>
      </c>
      <c r="F21" s="0" t="n">
        <f aca="false">E21/$E$4*100 - 100</f>
        <v>19.513759753977</v>
      </c>
      <c r="G21" s="0" t="n">
        <v>-450.92252314</v>
      </c>
      <c r="H21" s="0" t="n">
        <f aca="false">(G21 - G$4 - G$5)/J21</f>
        <v>-0.659446220000017</v>
      </c>
      <c r="J21" s="0" t="n">
        <v>2</v>
      </c>
    </row>
    <row r="22" customFormat="false" ht="12.75" hidden="false" customHeight="true" outlineLevel="0" collapsed="false">
      <c r="B22" s="0" t="s">
        <v>48</v>
      </c>
      <c r="C22" s="0" t="s">
        <v>49</v>
      </c>
      <c r="D22" s="0" t="s">
        <v>42</v>
      </c>
      <c r="E22" s="0" t="n">
        <v>230.71727</v>
      </c>
      <c r="F22" s="0" t="n">
        <f aca="false">E22/$E$4*100 - 100</f>
        <v>32.6209033296449</v>
      </c>
      <c r="G22" s="0" t="n">
        <v>-452.07589859</v>
      </c>
      <c r="H22" s="0" t="n">
        <f aca="false">(G22 - G$4 - G$5)/J22</f>
        <v>-0.824089296666677</v>
      </c>
      <c r="J22" s="0" t="n">
        <v>3</v>
      </c>
    </row>
    <row r="24" customFormat="false" ht="12.75" hidden="false" customHeight="true" outlineLevel="0" collapsed="false">
      <c r="B24" s="0" t="s">
        <v>50</v>
      </c>
      <c r="C24" s="0" t="s">
        <v>17</v>
      </c>
      <c r="D24" s="0" t="s">
        <v>39</v>
      </c>
      <c r="E24" s="0" t="n">
        <v>188.93908</v>
      </c>
      <c r="F24" s="0" t="n">
        <f aca="false">E24/$E$4*100 - 100</f>
        <v>8.60596375759839</v>
      </c>
      <c r="G24" s="0" t="n">
        <v>-449.71685496</v>
      </c>
      <c r="H24" s="0" t="n">
        <f aca="false">(G24 - G$4 - G$5)/J24</f>
        <v>-0.113224260000002</v>
      </c>
      <c r="J24" s="0" t="n">
        <v>1</v>
      </c>
    </row>
    <row r="25" customFormat="false" ht="12.75" hidden="false" customHeight="true" outlineLevel="0" collapsed="false">
      <c r="B25" s="0" t="s">
        <v>51</v>
      </c>
      <c r="C25" s="0" t="s">
        <v>52</v>
      </c>
      <c r="D25" s="0" t="s">
        <v>42</v>
      </c>
      <c r="E25" s="0" t="n">
        <v>188.93906</v>
      </c>
      <c r="F25" s="0" t="n">
        <f aca="false">E25/$E$4*100 - 100</f>
        <v>8.60595226119823</v>
      </c>
      <c r="G25" s="0" t="n">
        <v>-449.71685495</v>
      </c>
      <c r="H25" s="0" t="n">
        <f aca="false">(G25 - G$4 - G$5)/J25</f>
        <v>-0.113224250000051</v>
      </c>
      <c r="J25" s="0" t="n">
        <v>1</v>
      </c>
    </row>
    <row r="26" customFormat="false" ht="12.75" hidden="false" customHeight="true" outlineLevel="0" collapsed="false">
      <c r="B26" s="0" t="s">
        <v>53</v>
      </c>
      <c r="C26" s="0" t="s">
        <v>54</v>
      </c>
      <c r="D26" s="0" t="s">
        <v>42</v>
      </c>
      <c r="E26" s="0" t="n">
        <v>188.939</v>
      </c>
      <c r="F26" s="0" t="n">
        <f aca="false">E26/$E$4*100 - 100</f>
        <v>8.60591777199764</v>
      </c>
      <c r="G26" s="0" t="n">
        <v>-449.71685495</v>
      </c>
      <c r="H26" s="0" t="n">
        <f aca="false">(G26 - G$4 - G$5)/J26</f>
        <v>-0.113224250000051</v>
      </c>
      <c r="J26" s="0" t="n">
        <v>1</v>
      </c>
    </row>
    <row r="27" customFormat="false" ht="12.75" hidden="false" customHeight="true" outlineLevel="0" collapsed="false">
      <c r="B27" s="0" t="s">
        <v>55</v>
      </c>
      <c r="C27" s="0" t="s">
        <v>56</v>
      </c>
      <c r="D27" s="0" t="s">
        <v>42</v>
      </c>
      <c r="E27" s="0" t="n">
        <v>217.15542</v>
      </c>
      <c r="F27" s="0" t="n">
        <f aca="false">E27/$E$4*100 - 100</f>
        <v>24.8252805840171</v>
      </c>
      <c r="G27" s="0" t="n">
        <v>-450.78207401</v>
      </c>
      <c r="H27" s="0" t="n">
        <f aca="false">(G27 - G$4 - G$5)/J27</f>
        <v>-0.589221654999999</v>
      </c>
      <c r="J27" s="0" t="n">
        <v>2</v>
      </c>
    </row>
    <row r="28" customFormat="false" ht="12.75" hidden="false" customHeight="true" outlineLevel="0" collapsed="false">
      <c r="B28" s="0" t="s">
        <v>57</v>
      </c>
      <c r="C28" s="0" t="s">
        <v>56</v>
      </c>
      <c r="D28" s="0" t="s">
        <v>42</v>
      </c>
      <c r="E28" s="0" t="n">
        <v>217.15625</v>
      </c>
      <c r="F28" s="0" t="n">
        <f aca="false">E28/$E$4*100 - 100</f>
        <v>24.825757684625</v>
      </c>
      <c r="G28" s="0" t="n">
        <v>-450.78207403</v>
      </c>
      <c r="H28" s="0" t="n">
        <f aca="false">(G28 - G$4 - G$5)/J28</f>
        <v>-0.589221665000007</v>
      </c>
      <c r="J28" s="0" t="n">
        <v>2</v>
      </c>
    </row>
    <row r="29" customFormat="false" ht="12.75" hidden="false" customHeight="true" outlineLevel="0" collapsed="false">
      <c r="B29" s="0" t="s">
        <v>58</v>
      </c>
      <c r="C29" s="0" t="s">
        <v>56</v>
      </c>
      <c r="D29" s="0" t="s">
        <v>42</v>
      </c>
      <c r="E29" s="0" t="n">
        <v>217.15538</v>
      </c>
      <c r="F29" s="0" t="n">
        <f aca="false">E29/$E$4*100 - 100</f>
        <v>24.8252575912168</v>
      </c>
      <c r="G29" s="0" t="n">
        <v>-450.78207401</v>
      </c>
      <c r="H29" s="0" t="n">
        <f aca="false">(G29 - G$4 - G$5)/J29</f>
        <v>-0.589221654999999</v>
      </c>
      <c r="J29" s="0" t="n">
        <v>2</v>
      </c>
    </row>
    <row r="30" customFormat="false" ht="12.75" hidden="false" customHeight="true" outlineLevel="0" collapsed="false">
      <c r="B30" s="0" t="s">
        <v>59</v>
      </c>
      <c r="C30" s="0" t="s">
        <v>60</v>
      </c>
      <c r="D30" s="0" t="s">
        <v>42</v>
      </c>
      <c r="E30" s="0" t="n">
        <v>260.73626</v>
      </c>
      <c r="F30" s="0" t="n">
        <f aca="false">E30/$E$4*100 - 100</f>
        <v>49.8764194461609</v>
      </c>
      <c r="G30" s="0" t="n">
        <v>-451.87501896</v>
      </c>
      <c r="H30" s="0" t="n">
        <f aca="false">(G30 - G$4 - G$5)/J30</f>
        <v>-0.75712942</v>
      </c>
      <c r="J30" s="0" t="n">
        <v>3</v>
      </c>
    </row>
    <row r="32" customFormat="false" ht="12.75" hidden="false" customHeight="true" outlineLevel="0" collapsed="false">
      <c r="A32" s="0" t="s">
        <v>61</v>
      </c>
      <c r="H32" s="0" t="s">
        <v>62</v>
      </c>
    </row>
    <row r="33" customFormat="false" ht="12.75" hidden="false" customHeight="true" outlineLevel="0" collapsed="false">
      <c r="A33" s="0" t="s">
        <v>63</v>
      </c>
      <c r="B33" s="0" t="s">
        <v>37</v>
      </c>
      <c r="C33" s="0" t="s">
        <v>38</v>
      </c>
      <c r="E33" s="0" t="n">
        <v>191.38165</v>
      </c>
      <c r="F33" s="0" t="n">
        <f aca="false">E33/$E$4*100 - 100</f>
        <v>10.010001868165</v>
      </c>
      <c r="G33" s="0" t="n">
        <v>-449.75321283</v>
      </c>
      <c r="H33" s="0" t="n">
        <f aca="false">G33-G$16</f>
        <v>0.000117900000020654</v>
      </c>
    </row>
    <row r="34" customFormat="false" ht="12.75" hidden="false" customHeight="true" outlineLevel="0" collapsed="false">
      <c r="A34" s="0" t="s">
        <v>64</v>
      </c>
      <c r="B34" s="0" t="s">
        <v>37</v>
      </c>
      <c r="C34" s="0" t="s">
        <v>38</v>
      </c>
      <c r="E34" s="0" t="n">
        <v>191.38408</v>
      </c>
      <c r="F34" s="0" t="n">
        <f aca="false">E34/$E$4*100 - 100</f>
        <v>10.0113986807881</v>
      </c>
      <c r="G34" s="0" t="n">
        <v>-449.7531854</v>
      </c>
      <c r="H34" s="0" t="n">
        <f aca="false">G34-G$16</f>
        <v>0.00014533000000938</v>
      </c>
    </row>
    <row r="35" customFormat="false" ht="12.75" hidden="false" customHeight="true" outlineLevel="0" collapsed="false">
      <c r="A35" s="0" t="s">
        <v>65</v>
      </c>
      <c r="B35" s="0" t="s">
        <v>37</v>
      </c>
      <c r="C35" s="0" t="s">
        <v>38</v>
      </c>
      <c r="E35" s="0" t="n">
        <v>191.46233</v>
      </c>
      <c r="F35" s="0" t="n">
        <f aca="false">E35/$E$4*100 - 100</f>
        <v>10.0563783465302</v>
      </c>
      <c r="G35" s="0" t="n">
        <v>-449.75339688</v>
      </c>
      <c r="H35" s="0" t="n">
        <f aca="false">G35-G$16</f>
        <v>-6.61500000092019E-005</v>
      </c>
    </row>
    <row r="37" customFormat="false" ht="12.75" hidden="false" customHeight="true" outlineLevel="0" collapsed="false">
      <c r="A37" s="0" t="s">
        <v>66</v>
      </c>
    </row>
    <row r="38" customFormat="false" ht="12.75" hidden="false" customHeight="true" outlineLevel="0" collapsed="false">
      <c r="B38" s="0" t="s">
        <v>37</v>
      </c>
      <c r="C38" s="0" t="s">
        <v>38</v>
      </c>
      <c r="D38" s="0" t="s">
        <v>39</v>
      </c>
      <c r="E38" s="0" t="s">
        <v>11</v>
      </c>
      <c r="G38" s="0" t="n">
        <v>-449.71189327</v>
      </c>
      <c r="H38" s="0" t="n">
        <f aca="false">(G38 - G$4 - G$5)/J38</f>
        <v>-0.108262570000043</v>
      </c>
      <c r="J38" s="0" t="n">
        <v>1</v>
      </c>
    </row>
    <row r="39" customFormat="false" ht="12.75" hidden="false" customHeight="true" outlineLevel="0" collapsed="false">
      <c r="B39" s="0" t="s">
        <v>44</v>
      </c>
      <c r="C39" s="0" t="s">
        <v>45</v>
      </c>
      <c r="D39" s="0" t="s">
        <v>42</v>
      </c>
      <c r="E39" s="0" t="s">
        <v>11</v>
      </c>
      <c r="G39" s="0" t="n">
        <v>-450.83064646</v>
      </c>
      <c r="H39" s="0" t="n">
        <f aca="false">(G39 - G$4 - G$5)/J39</f>
        <v>-0.613507880000025</v>
      </c>
      <c r="J39" s="0" t="n">
        <v>2</v>
      </c>
    </row>
    <row r="40" customFormat="false" ht="12.75" hidden="false" customHeight="true" outlineLevel="0" collapsed="false">
      <c r="B40" s="0" t="s">
        <v>48</v>
      </c>
      <c r="C40" s="0" t="s">
        <v>49</v>
      </c>
      <c r="D40" s="0" t="s">
        <v>42</v>
      </c>
      <c r="E40" s="0" t="s">
        <v>11</v>
      </c>
      <c r="G40" s="0" t="n">
        <v>-451.94499369</v>
      </c>
      <c r="H40" s="0" t="n">
        <f aca="false">(G40 - G$4 - G$5)/J40</f>
        <v>-0.780454330000005</v>
      </c>
      <c r="J40" s="0" t="n">
        <v>3</v>
      </c>
    </row>
    <row r="41" customFormat="false" ht="12.75" hidden="false" customHeight="true" outlineLevel="0" collapsed="false">
      <c r="B41" s="0" t="s">
        <v>50</v>
      </c>
      <c r="C41" s="0" t="s">
        <v>17</v>
      </c>
      <c r="D41" s="0" t="s">
        <v>42</v>
      </c>
      <c r="E41" s="0" t="s">
        <v>11</v>
      </c>
      <c r="G41" s="0" t="n">
        <v>-449.59796686</v>
      </c>
      <c r="H41" s="0" t="n">
        <f aca="false">(G41 - G$4 - G$5)/J41</f>
        <v>0.00566383999999065</v>
      </c>
      <c r="J41" s="0" t="n">
        <v>1</v>
      </c>
    </row>
    <row r="42" customFormat="false" ht="12.75" hidden="false" customHeight="true" outlineLevel="0" collapsed="false">
      <c r="B42" s="0" t="s">
        <v>55</v>
      </c>
      <c r="C42" s="0" t="s">
        <v>56</v>
      </c>
      <c r="D42" s="0" t="s">
        <v>42</v>
      </c>
      <c r="E42" s="0" t="s">
        <v>11</v>
      </c>
      <c r="G42" s="0" t="n">
        <v>-450.61407946</v>
      </c>
      <c r="H42" s="0" t="n">
        <f aca="false">(G42 - G$4 - G$5)/J42</f>
        <v>-0.505224380000026</v>
      </c>
      <c r="J42" s="0" t="n">
        <v>2</v>
      </c>
    </row>
    <row r="43" customFormat="false" ht="12.75" hidden="false" customHeight="true" outlineLevel="0" collapsed="false">
      <c r="B43" s="0" t="s">
        <v>59</v>
      </c>
      <c r="C43" s="0" t="s">
        <v>60</v>
      </c>
      <c r="D43" s="0" t="s">
        <v>42</v>
      </c>
      <c r="E43" s="0" t="s">
        <v>11</v>
      </c>
      <c r="G43" s="0" t="n">
        <v>-451.64308443</v>
      </c>
      <c r="H43" s="0" t="n">
        <f aca="false">(G43 - G$4 - G$5)/J43</f>
        <v>-0.679817910000004</v>
      </c>
      <c r="J43" s="0" t="n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115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2025-11-17T01:20:04Z</dcterms:created>
  <dc:creator/>
  <dc:description/>
  <dc:language>en-US</dc:language>
  <cp:lastModifiedBy/>
  <dcterms:modified xsi:type="dcterms:W3CDTF">2025-11-20T00:23:11Z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