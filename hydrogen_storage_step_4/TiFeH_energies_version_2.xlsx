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jorn\Downloads\"/>
    </mc:Choice>
  </mc:AlternateContent>
  <xr:revisionPtr revIDLastSave="0" documentId="13_ncr:1_{4F35314A-18CD-439B-B277-02DF7058F06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4" i="1"/>
  <c r="F25" i="1"/>
  <c r="F26" i="1"/>
  <c r="F27" i="1"/>
  <c r="F28" i="1"/>
  <c r="F29" i="1"/>
  <c r="F30" i="1"/>
  <c r="F33" i="1"/>
  <c r="F34" i="1"/>
  <c r="F35" i="1"/>
  <c r="F7" i="1"/>
  <c r="H19" i="1"/>
  <c r="H39" i="1"/>
  <c r="H40" i="1"/>
  <c r="H41" i="1"/>
  <c r="H42" i="1"/>
  <c r="H43" i="1"/>
  <c r="H38" i="1"/>
  <c r="H34" i="1"/>
  <c r="H35" i="1"/>
  <c r="H33" i="1"/>
  <c r="H24" i="1"/>
  <c r="H25" i="1"/>
  <c r="H26" i="1"/>
  <c r="H27" i="1"/>
  <c r="H28" i="1"/>
  <c r="H29" i="1"/>
  <c r="H30" i="1"/>
  <c r="H17" i="1"/>
  <c r="H18" i="1"/>
  <c r="H20" i="1"/>
  <c r="H21" i="1"/>
  <c r="H22" i="1"/>
  <c r="H16" i="1"/>
  <c r="H10" i="1"/>
  <c r="I7" i="1" l="1"/>
  <c r="H8" i="1"/>
  <c r="I14" i="1"/>
  <c r="H14" i="1"/>
  <c r="I13" i="1"/>
  <c r="H13" i="1"/>
  <c r="I12" i="1"/>
  <c r="H12" i="1"/>
  <c r="I11" i="1"/>
  <c r="H11" i="1"/>
  <c r="I10" i="1"/>
  <c r="I9" i="1"/>
  <c r="H9" i="1"/>
  <c r="I8" i="1"/>
  <c r="H7" i="1"/>
</calcChain>
</file>

<file path=xl/sharedStrings.xml><?xml version="1.0" encoding="utf-8"?>
<sst xmlns="http://schemas.openxmlformats.org/spreadsheetml/2006/main" count="119" uniqueCount="67">
  <si>
    <t>Material:</t>
  </si>
  <si>
    <t>Initial H position</t>
  </si>
  <si>
    <t>Final H position</t>
  </si>
  <si>
    <t>Volume (a.u.^3)</t>
  </si>
  <si>
    <t>Total energy (Ry)</t>
  </si>
  <si>
    <t>Capacity (wt%)</t>
  </si>
  <si>
    <t>TiFe</t>
  </si>
  <si>
    <t>/</t>
  </si>
  <si>
    <t>H</t>
  </si>
  <si>
    <t>(0, 0, 0)</t>
  </si>
  <si>
    <t>TiFeH (3c)</t>
  </si>
  <si>
    <t>(½, ½, 0)</t>
  </si>
  <si>
    <t>TiFeH (3d)</t>
  </si>
  <si>
    <t>(½, 0, 0)</t>
  </si>
  <si>
    <t>TiFeH (8g)</t>
  </si>
  <si>
    <t>(¼, ¼, ¼)</t>
  </si>
  <si>
    <t>(0.2359737265, 0.2442064295, 0.2978151277)</t>
  </si>
  <si>
    <t>TiFeH (6f)</t>
  </si>
  <si>
    <t>(½, ½, ¼)</t>
  </si>
  <si>
    <t>(0.4999999988, 0.5000000038, 0.0833385404)</t>
  </si>
  <si>
    <t>TiFeH (12j)</t>
  </si>
  <si>
    <t>(½, ¼, ¼)</t>
  </si>
  <si>
    <t>(0.5000000016, 0.1578866936, 0.1578824006)</t>
  </si>
  <si>
    <t>TiFeH (24l)</t>
  </si>
  <si>
    <t>(½, 0.12, 0.24)</t>
  </si>
  <si>
    <t>(0.5000000059, 0.0399984931, 0.4133476880)</t>
  </si>
  <si>
    <t>TiFeH (24m)</t>
  </si>
  <si>
    <t>(0.12, 0.12, 0.24)</t>
  </si>
  <si>
    <t>(0.1145364726, 0.1145364684, 0.4133773422)</t>
  </si>
  <si>
    <t>TiFeH (48n)</t>
  </si>
  <si>
    <t>(0.12, 0.24, 0.36)</t>
  </si>
  <si>
    <t>(0.0400084584, 0.4133463972, 0.4532682078)</t>
  </si>
  <si>
    <t>Rostislaw</t>
  </si>
  <si>
    <t>Bjorn</t>
  </si>
  <si>
    <t>TiFeH (3c) x</t>
  </si>
  <si>
    <t># H</t>
  </si>
  <si>
    <t>TiFeH (3c) y</t>
  </si>
  <si>
    <t>TiFeH (3c) z</t>
  </si>
  <si>
    <t>(0, ½, ½)</t>
  </si>
  <si>
    <t>(½, 0, ½)</t>
  </si>
  <si>
    <t>(½, ½, 0) x2</t>
  </si>
  <si>
    <t>(½, ½, 0) x3</t>
  </si>
  <si>
    <t>no change</t>
  </si>
  <si>
    <t>"</t>
  </si>
  <si>
    <t>Formation energy (Ry) per H</t>
  </si>
  <si>
    <t>TiFeH2 (3c) xy</t>
  </si>
  <si>
    <t>TiFeH2 (3c) xz</t>
  </si>
  <si>
    <t>TiFeH2 (3c) yz</t>
  </si>
  <si>
    <t>TiFeH3 (3c) xyz</t>
  </si>
  <si>
    <t>TiFeH (3d) x</t>
  </si>
  <si>
    <t>TiFeH (3d) y</t>
  </si>
  <si>
    <t>TiFeH (3d) z</t>
  </si>
  <si>
    <t>TiFeH2 (3d) xy</t>
  </si>
  <si>
    <t>TiFeH2 (3d) xz</t>
  </si>
  <si>
    <t>TiFeH2 (3d) yz</t>
  </si>
  <si>
    <t>TiFeH3 (3d) xyz</t>
  </si>
  <si>
    <t>(0, ½, 0)</t>
  </si>
  <si>
    <t>(0, 0, ½)</t>
  </si>
  <si>
    <t>(½, 0, 0) x2</t>
  </si>
  <si>
    <t>(½, 0, 0) x3</t>
  </si>
  <si>
    <t>convergence test verification</t>
  </si>
  <si>
    <t>k=18</t>
  </si>
  <si>
    <t>k=21</t>
  </si>
  <si>
    <t>energy difference (compared to lower k calculations)</t>
  </si>
  <si>
    <t>k=21, wfc=150, rho=2000</t>
  </si>
  <si>
    <t>Fixed volume "relax"</t>
  </si>
  <si>
    <t>Volume change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</si>
</sst>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289560</xdr:colOff>
      <xdr:row>14</xdr:row>
      <xdr:rowOff>60962</xdr:rowOff>
    </xdr:from>
    <xdr:to>
      <xdr:col>12</xdr:col>
      <xdr:colOff>127930</xdr:colOff>
      <xdr:row>22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FFA99-9772-4D10-804D-28D37E406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04620" y="2301242"/>
          <a:ext cx="1423330" cy="1249678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</xdr:colOff>
      <xdr:row>14</xdr:row>
      <xdr:rowOff>30480</xdr:rowOff>
    </xdr:from>
    <xdr:to>
      <xdr:col>13</xdr:col>
      <xdr:colOff>617220</xdr:colOff>
      <xdr:row>21</xdr:row>
      <xdr:rowOff>69520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6BC693-6C76-4509-883D-6C6EC4D73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53360" y="2270760"/>
          <a:ext cx="1356360" cy="1159180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464819</xdr:colOff>
      <xdr:row>14</xdr:row>
      <xdr:rowOff>22860</xdr:rowOff>
    </xdr:from>
    <xdr:to>
      <xdr:col>15</xdr:col>
      <xdr:colOff>129539</xdr:colOff>
      <xdr:row>21</xdr:row>
      <xdr:rowOff>69589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2C6A8D-C659-4215-AB78-948A9364A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57319" y="2263140"/>
          <a:ext cx="1249680" cy="1166869"/>
        </a:xfrm>
        <a:prstGeom prst="rect">
          <a:avLst/>
        </a:prstGeom>
      </xdr:spPr>
    </xdr:pic>
    <xdr:clientData/>
  </xdr:twoCellAnchor>
  <xdr:twoCellAnchor editAs="oneCell">
    <xdr:from>
      <xdr:col>10</xdr:col>
      <xdr:colOff>320040</xdr:colOff>
      <xdr:row>22</xdr:row>
      <xdr:rowOff>83820</xdr:rowOff>
    </xdr:from>
    <xdr:to>
      <xdr:col>12</xdr:col>
      <xdr:colOff>48825</xdr:colOff>
      <xdr:row>29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37431F-7459-45B3-9F71-CC86CD1B3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35100" y="3604260"/>
          <a:ext cx="1313745" cy="1158240"/>
        </a:xfrm>
        <a:prstGeom prst="rect">
          <a:avLst/>
        </a:prstGeom>
      </xdr:spPr>
    </xdr:pic>
    <xdr:clientData/>
  </xdr:twoCellAnchor>
  <xdr:twoCellAnchor editAs="oneCell">
    <xdr:from>
      <xdr:col>11</xdr:col>
      <xdr:colOff>739140</xdr:colOff>
      <xdr:row>22</xdr:row>
      <xdr:rowOff>99060</xdr:rowOff>
    </xdr:from>
    <xdr:to>
      <xdr:col>13</xdr:col>
      <xdr:colOff>449579</xdr:colOff>
      <xdr:row>29</xdr:row>
      <xdr:rowOff>131937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804D8F-533F-47CD-AE45-64434EEF8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46680" y="3619500"/>
          <a:ext cx="1295399" cy="1153017"/>
        </a:xfrm>
        <a:prstGeom prst="rect">
          <a:avLst/>
        </a:prstGeom>
      </xdr:spPr>
    </xdr:pic>
    <xdr:clientData/>
  </xdr:twoCellAnchor>
  <xdr:twoCellAnchor editAs="oneCell">
    <xdr:from>
      <xdr:col>13</xdr:col>
      <xdr:colOff>373379</xdr:colOff>
      <xdr:row>23</xdr:row>
      <xdr:rowOff>45720</xdr:rowOff>
    </xdr:from>
    <xdr:to>
      <xdr:col>15</xdr:col>
      <xdr:colOff>39951</xdr:colOff>
      <xdr:row>30</xdr:row>
      <xdr:rowOff>106680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472F6B-9397-4507-A680-D1F91B1D8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65879" y="3726180"/>
          <a:ext cx="1251532" cy="1181100"/>
        </a:xfrm>
        <a:prstGeom prst="rect">
          <a:avLst/>
        </a:prstGeom>
      </xdr:spPr>
    </xdr:pic>
    <xdr:clientData/>
  </xdr:twoCellAnchor>
  <xdr:twoCellAnchor editAs="oneCell">
    <xdr:from>
      <xdr:col>1</xdr:col>
      <xdr:colOff>41564</xdr:colOff>
      <xdr:row>46</xdr:row>
      <xdr:rowOff>138546</xdr:rowOff>
    </xdr:from>
    <xdr:to>
      <xdr:col>3</xdr:col>
      <xdr:colOff>2124555</xdr:colOff>
      <xdr:row>77</xdr:row>
      <xdr:rowOff>20593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DB03E9-05D4-5B77-FE4F-2B7F2E247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6509" y="7786255"/>
          <a:ext cx="5906846" cy="5035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10" zoomScale="55" zoomScaleNormal="55" workbookViewId="0">
      <selection activeCell="F67" sqref="F67"/>
    </sheetView>
  </sheetViews>
  <sheetFormatPr defaultColWidth="11.5546875" defaultRowHeight="12.75" customHeight="1" x14ac:dyDescent="0.25"/>
  <cols>
    <col min="1" max="1" width="26.5546875" customWidth="1"/>
    <col min="2" max="2" width="14" bestFit="1" customWidth="1"/>
    <col min="3" max="3" width="41.88671875" customWidth="1"/>
    <col min="4" max="4" width="40" bestFit="1" customWidth="1"/>
    <col min="5" max="5" width="13.88671875" bestFit="1" customWidth="1"/>
    <col min="6" max="6" width="17.33203125" bestFit="1" customWidth="1"/>
    <col min="7" max="7" width="15.21875" bestFit="1" customWidth="1"/>
    <col min="8" max="8" width="24.77734375" bestFit="1" customWidth="1"/>
    <col min="9" max="9" width="13.5546875" bestFit="1" customWidth="1"/>
  </cols>
  <sheetData>
    <row r="1" spans="1:10" ht="13.2" x14ac:dyDescent="0.25"/>
    <row r="2" spans="1:10" ht="13.2" x14ac:dyDescent="0.25"/>
    <row r="3" spans="1:10" ht="13.2" x14ac:dyDescent="0.25">
      <c r="A3" t="s">
        <v>32</v>
      </c>
      <c r="B3" t="s">
        <v>0</v>
      </c>
      <c r="C3" t="s">
        <v>1</v>
      </c>
      <c r="D3" t="s">
        <v>2</v>
      </c>
      <c r="E3" t="s">
        <v>3</v>
      </c>
      <c r="F3" t="s">
        <v>66</v>
      </c>
      <c r="G3" t="s">
        <v>4</v>
      </c>
      <c r="H3" t="s">
        <v>44</v>
      </c>
      <c r="I3" t="s">
        <v>5</v>
      </c>
      <c r="J3" t="s">
        <v>35</v>
      </c>
    </row>
    <row r="4" spans="1:10" ht="12.75" customHeight="1" x14ac:dyDescent="0.25">
      <c r="B4" t="s">
        <v>6</v>
      </c>
      <c r="C4" t="s">
        <v>7</v>
      </c>
      <c r="D4" t="s">
        <v>7</v>
      </c>
      <c r="E4">
        <v>173.9675</v>
      </c>
      <c r="G4">
        <v>-448.58686913999998</v>
      </c>
    </row>
    <row r="5" spans="1:10" ht="13.2" x14ac:dyDescent="0.25">
      <c r="B5" t="s">
        <v>8</v>
      </c>
      <c r="C5" s="1" t="s">
        <v>9</v>
      </c>
      <c r="D5" t="s">
        <v>9</v>
      </c>
      <c r="E5">
        <v>20.310279999999999</v>
      </c>
      <c r="G5">
        <v>-1.0725787</v>
      </c>
    </row>
    <row r="6" spans="1:10" ht="13.2" x14ac:dyDescent="0.25"/>
    <row r="7" spans="1:10" ht="13.2" x14ac:dyDescent="0.25">
      <c r="B7" t="s">
        <v>10</v>
      </c>
      <c r="C7" t="s">
        <v>11</v>
      </c>
      <c r="D7" t="s">
        <v>11</v>
      </c>
      <c r="E7">
        <v>191.36410000000001</v>
      </c>
      <c r="F7">
        <f>E7/$E$4*100 - 100</f>
        <v>9.9999137769985822</v>
      </c>
      <c r="G7">
        <v>-449.75319983000003</v>
      </c>
      <c r="H7">
        <f t="shared" ref="H7:H14" si="0">G7 - G$4 - G$5</f>
        <v>-9.3751990000052077E-2</v>
      </c>
      <c r="I7">
        <f>1.00784 / (1.00784 + 58.6934 + 47.867) * 100</f>
        <v>0.93693082642237158</v>
      </c>
      <c r="J7">
        <v>1</v>
      </c>
    </row>
    <row r="8" spans="1:10" ht="13.2" x14ac:dyDescent="0.25">
      <c r="B8" t="s">
        <v>12</v>
      </c>
      <c r="C8" t="s">
        <v>13</v>
      </c>
      <c r="D8" t="s">
        <v>13</v>
      </c>
      <c r="E8">
        <v>188.96530999999999</v>
      </c>
      <c r="F8">
        <f t="shared" ref="F8:F35" si="1">E8/$E$4*100 - 100</f>
        <v>8.6210412864471806</v>
      </c>
      <c r="G8">
        <v>-449.71673678000002</v>
      </c>
      <c r="H8">
        <f t="shared" si="0"/>
        <v>-5.7288940000043143E-2</v>
      </c>
      <c r="I8">
        <f t="shared" ref="I8:I14" si="2">1.00784 / (1.00784 + 58.6934 + 47.867) * 100</f>
        <v>0.93693082642237158</v>
      </c>
      <c r="J8">
        <v>1</v>
      </c>
    </row>
    <row r="9" spans="1:10" ht="13.2" x14ac:dyDescent="0.25">
      <c r="B9" t="s">
        <v>14</v>
      </c>
      <c r="C9" t="s">
        <v>15</v>
      </c>
      <c r="D9" t="s">
        <v>16</v>
      </c>
      <c r="E9">
        <v>194.87518</v>
      </c>
      <c r="F9">
        <f t="shared" si="1"/>
        <v>12.018152815899526</v>
      </c>
      <c r="G9">
        <v>-449.70183076000001</v>
      </c>
      <c r="H9">
        <f t="shared" si="0"/>
        <v>-4.2382920000030966E-2</v>
      </c>
      <c r="I9">
        <f t="shared" si="2"/>
        <v>0.93693082642237158</v>
      </c>
      <c r="J9">
        <v>1</v>
      </c>
    </row>
    <row r="10" spans="1:10" ht="13.2" x14ac:dyDescent="0.25">
      <c r="B10" t="s">
        <v>17</v>
      </c>
      <c r="C10" t="s">
        <v>18</v>
      </c>
      <c r="D10" t="s">
        <v>19</v>
      </c>
      <c r="E10">
        <v>191.36279999999999</v>
      </c>
      <c r="F10">
        <f t="shared" si="1"/>
        <v>9.9991665109862424</v>
      </c>
      <c r="G10">
        <v>-449.75319983000003</v>
      </c>
      <c r="H10">
        <f t="shared" si="0"/>
        <v>-9.3751990000052077E-2</v>
      </c>
      <c r="I10">
        <f t="shared" si="2"/>
        <v>0.93693082642237158</v>
      </c>
      <c r="J10">
        <v>1</v>
      </c>
    </row>
    <row r="11" spans="1:10" ht="13.2" x14ac:dyDescent="0.25">
      <c r="B11" t="s">
        <v>20</v>
      </c>
      <c r="C11" t="s">
        <v>21</v>
      </c>
      <c r="D11" t="s">
        <v>22</v>
      </c>
      <c r="E11">
        <v>191.59933000000001</v>
      </c>
      <c r="F11">
        <f t="shared" si="1"/>
        <v>10.135128687829621</v>
      </c>
      <c r="G11">
        <v>-449.72437516999997</v>
      </c>
      <c r="H11">
        <f t="shared" si="0"/>
        <v>-6.4927329999997285E-2</v>
      </c>
      <c r="I11">
        <f t="shared" si="2"/>
        <v>0.93693082642237158</v>
      </c>
      <c r="J11">
        <v>1</v>
      </c>
    </row>
    <row r="12" spans="1:10" ht="13.2" x14ac:dyDescent="0.25">
      <c r="B12" t="s">
        <v>23</v>
      </c>
      <c r="C12" t="s">
        <v>24</v>
      </c>
      <c r="D12" t="s">
        <v>25</v>
      </c>
      <c r="E12">
        <v>191.35812999999999</v>
      </c>
      <c r="F12">
        <f t="shared" si="1"/>
        <v>9.9964821015419432</v>
      </c>
      <c r="G12">
        <v>-449.75319975999997</v>
      </c>
      <c r="H12">
        <f t="shared" si="0"/>
        <v>-9.3751919999996547E-2</v>
      </c>
      <c r="I12">
        <f t="shared" si="2"/>
        <v>0.93693082642237158</v>
      </c>
      <c r="J12">
        <v>1</v>
      </c>
    </row>
    <row r="13" spans="1:10" ht="12.75" customHeight="1" x14ac:dyDescent="0.25">
      <c r="B13" t="s">
        <v>26</v>
      </c>
      <c r="C13" t="s">
        <v>27</v>
      </c>
      <c r="D13" t="s">
        <v>28</v>
      </c>
      <c r="E13">
        <v>191.60181</v>
      </c>
      <c r="F13">
        <f t="shared" si="1"/>
        <v>10.13655424145314</v>
      </c>
      <c r="G13">
        <v>-449.72437463</v>
      </c>
      <c r="H13">
        <f t="shared" si="0"/>
        <v>-6.492679000002366E-2</v>
      </c>
      <c r="I13">
        <f t="shared" si="2"/>
        <v>0.93693082642237158</v>
      </c>
      <c r="J13">
        <v>1</v>
      </c>
    </row>
    <row r="14" spans="1:10" ht="12.75" customHeight="1" x14ac:dyDescent="0.25">
      <c r="B14" t="s">
        <v>29</v>
      </c>
      <c r="C14" t="s">
        <v>30</v>
      </c>
      <c r="D14" t="s">
        <v>31</v>
      </c>
      <c r="E14">
        <v>191.3603</v>
      </c>
      <c r="F14">
        <f t="shared" si="1"/>
        <v>9.9977294609625318</v>
      </c>
      <c r="G14">
        <v>-449.75319975999997</v>
      </c>
      <c r="H14">
        <f t="shared" si="0"/>
        <v>-9.3751919999996547E-2</v>
      </c>
      <c r="I14">
        <f t="shared" si="2"/>
        <v>0.93693082642237158</v>
      </c>
      <c r="J14">
        <v>1</v>
      </c>
    </row>
    <row r="16" spans="1:10" ht="12.75" customHeight="1" x14ac:dyDescent="0.25">
      <c r="A16" t="s">
        <v>33</v>
      </c>
      <c r="B16" t="s">
        <v>34</v>
      </c>
      <c r="C16" t="s">
        <v>38</v>
      </c>
      <c r="D16" t="s">
        <v>42</v>
      </c>
      <c r="E16">
        <v>191.34687</v>
      </c>
      <c r="F16">
        <f t="shared" si="1"/>
        <v>9.9900096282351569</v>
      </c>
      <c r="G16">
        <v>-449.75333073000002</v>
      </c>
      <c r="H16">
        <f>(G16 - G$4 - G$5)/J16</f>
        <v>-9.3882890000039909E-2</v>
      </c>
      <c r="J16">
        <v>1</v>
      </c>
    </row>
    <row r="17" spans="1:10" ht="12.75" customHeight="1" x14ac:dyDescent="0.25">
      <c r="B17" t="s">
        <v>36</v>
      </c>
      <c r="C17" t="s">
        <v>39</v>
      </c>
      <c r="D17" t="s">
        <v>43</v>
      </c>
      <c r="E17">
        <v>191.34048000000001</v>
      </c>
      <c r="F17">
        <f t="shared" si="1"/>
        <v>9.9863365283745509</v>
      </c>
      <c r="G17">
        <v>-449.75333066000002</v>
      </c>
      <c r="H17">
        <f t="shared" ref="H17:H30" si="3">(G17 - G$4 - G$5)/J17</f>
        <v>-9.3882820000041223E-2</v>
      </c>
      <c r="J17">
        <v>1</v>
      </c>
    </row>
    <row r="18" spans="1:10" ht="12.75" customHeight="1" x14ac:dyDescent="0.25">
      <c r="B18" t="s">
        <v>37</v>
      </c>
      <c r="C18" t="s">
        <v>11</v>
      </c>
      <c r="D18" t="s">
        <v>43</v>
      </c>
      <c r="E18">
        <v>191.34046000000001</v>
      </c>
      <c r="F18">
        <f t="shared" si="1"/>
        <v>9.9863250319743599</v>
      </c>
      <c r="G18">
        <v>-449.75333068999998</v>
      </c>
      <c r="H18">
        <f t="shared" si="3"/>
        <v>-9.3882850000008178E-2</v>
      </c>
      <c r="J18">
        <v>1</v>
      </c>
    </row>
    <row r="19" spans="1:10" ht="12.75" customHeight="1" x14ac:dyDescent="0.25">
      <c r="B19" t="s">
        <v>45</v>
      </c>
      <c r="C19" t="s">
        <v>40</v>
      </c>
      <c r="D19" t="s">
        <v>43</v>
      </c>
      <c r="E19">
        <v>207.91506000000001</v>
      </c>
      <c r="F19">
        <f t="shared" si="1"/>
        <v>19.513736761176673</v>
      </c>
      <c r="G19">
        <v>-450.92252313</v>
      </c>
      <c r="H19">
        <f>(G19 - G$4 - G$5)/J19</f>
        <v>-0.63153764500001286</v>
      </c>
      <c r="J19">
        <v>2</v>
      </c>
    </row>
    <row r="20" spans="1:10" ht="12.75" customHeight="1" x14ac:dyDescent="0.25">
      <c r="B20" t="s">
        <v>46</v>
      </c>
      <c r="C20" t="s">
        <v>40</v>
      </c>
      <c r="D20" t="s">
        <v>43</v>
      </c>
      <c r="E20">
        <v>207.91433000000001</v>
      </c>
      <c r="F20">
        <f t="shared" si="1"/>
        <v>19.513317142569747</v>
      </c>
      <c r="G20">
        <v>-450.92252314000001</v>
      </c>
      <c r="H20">
        <f t="shared" si="3"/>
        <v>-0.63153765000001683</v>
      </c>
      <c r="J20">
        <v>2</v>
      </c>
    </row>
    <row r="21" spans="1:10" ht="12.75" customHeight="1" x14ac:dyDescent="0.25">
      <c r="B21" t="s">
        <v>47</v>
      </c>
      <c r="C21" t="s">
        <v>40</v>
      </c>
      <c r="D21" t="s">
        <v>43</v>
      </c>
      <c r="E21">
        <v>207.9151</v>
      </c>
      <c r="F21">
        <f t="shared" si="1"/>
        <v>19.513759753977027</v>
      </c>
      <c r="G21">
        <v>-450.92252314000001</v>
      </c>
      <c r="H21">
        <f t="shared" si="3"/>
        <v>-0.63153765000001683</v>
      </c>
      <c r="J21">
        <v>2</v>
      </c>
    </row>
    <row r="22" spans="1:10" ht="12.75" customHeight="1" x14ac:dyDescent="0.25">
      <c r="B22" t="s">
        <v>48</v>
      </c>
      <c r="C22" t="s">
        <v>41</v>
      </c>
      <c r="D22" t="s">
        <v>43</v>
      </c>
      <c r="E22">
        <v>230.71727000000001</v>
      </c>
      <c r="F22">
        <f t="shared" si="1"/>
        <v>32.620903329644904</v>
      </c>
      <c r="G22">
        <v>-452.07589859000001</v>
      </c>
      <c r="H22">
        <f t="shared" si="3"/>
        <v>-0.80548358333334402</v>
      </c>
      <c r="J22">
        <v>3</v>
      </c>
    </row>
    <row r="24" spans="1:10" ht="12.75" customHeight="1" x14ac:dyDescent="0.25">
      <c r="B24" t="s">
        <v>49</v>
      </c>
      <c r="C24" t="s">
        <v>13</v>
      </c>
      <c r="D24" t="s">
        <v>42</v>
      </c>
      <c r="E24">
        <v>188.93907999999999</v>
      </c>
      <c r="F24">
        <f t="shared" si="1"/>
        <v>8.6059637575983885</v>
      </c>
      <c r="G24">
        <v>-449.71685495999998</v>
      </c>
      <c r="H24">
        <f>(G24 - G$4 - G$5)/J24</f>
        <v>-5.7407120000001699E-2</v>
      </c>
      <c r="J24">
        <v>1</v>
      </c>
    </row>
    <row r="25" spans="1:10" ht="12.75" customHeight="1" x14ac:dyDescent="0.25">
      <c r="B25" t="s">
        <v>50</v>
      </c>
      <c r="C25" t="s">
        <v>56</v>
      </c>
      <c r="D25" t="s">
        <v>43</v>
      </c>
      <c r="E25">
        <v>188.93906000000001</v>
      </c>
      <c r="F25">
        <f t="shared" si="1"/>
        <v>8.605952261198226</v>
      </c>
      <c r="G25">
        <v>-449.71685495000003</v>
      </c>
      <c r="H25">
        <f t="shared" si="3"/>
        <v>-5.740711000005061E-2</v>
      </c>
      <c r="J25">
        <v>1</v>
      </c>
    </row>
    <row r="26" spans="1:10" ht="12.75" customHeight="1" x14ac:dyDescent="0.25">
      <c r="B26" t="s">
        <v>51</v>
      </c>
      <c r="C26" t="s">
        <v>57</v>
      </c>
      <c r="D26" t="s">
        <v>43</v>
      </c>
      <c r="E26">
        <v>188.93899999999999</v>
      </c>
      <c r="F26">
        <f t="shared" si="1"/>
        <v>8.605917771997639</v>
      </c>
      <c r="G26">
        <v>-449.71685495000003</v>
      </c>
      <c r="H26">
        <f t="shared" si="3"/>
        <v>-5.740711000005061E-2</v>
      </c>
      <c r="J26">
        <v>1</v>
      </c>
    </row>
    <row r="27" spans="1:10" ht="12.75" customHeight="1" x14ac:dyDescent="0.25">
      <c r="B27" t="s">
        <v>52</v>
      </c>
      <c r="C27" t="s">
        <v>58</v>
      </c>
      <c r="D27" t="s">
        <v>43</v>
      </c>
      <c r="E27">
        <v>217.15541999999999</v>
      </c>
      <c r="F27">
        <f t="shared" si="1"/>
        <v>24.825280584017122</v>
      </c>
      <c r="G27">
        <v>-450.78207400999997</v>
      </c>
      <c r="H27">
        <f t="shared" si="3"/>
        <v>-0.56131308499999888</v>
      </c>
      <c r="J27">
        <v>2</v>
      </c>
    </row>
    <row r="28" spans="1:10" ht="12.75" customHeight="1" x14ac:dyDescent="0.25">
      <c r="B28" t="s">
        <v>53</v>
      </c>
      <c r="C28" t="s">
        <v>58</v>
      </c>
      <c r="D28" t="s">
        <v>43</v>
      </c>
      <c r="E28">
        <v>217.15625</v>
      </c>
      <c r="F28">
        <f t="shared" si="1"/>
        <v>24.825757684625003</v>
      </c>
      <c r="G28">
        <v>-450.78207402999999</v>
      </c>
      <c r="H28">
        <f t="shared" si="3"/>
        <v>-0.56131309500000681</v>
      </c>
      <c r="J28">
        <v>2</v>
      </c>
    </row>
    <row r="29" spans="1:10" ht="12.75" customHeight="1" x14ac:dyDescent="0.25">
      <c r="B29" t="s">
        <v>54</v>
      </c>
      <c r="C29" t="s">
        <v>58</v>
      </c>
      <c r="D29" t="s">
        <v>43</v>
      </c>
      <c r="E29">
        <v>217.15538000000001</v>
      </c>
      <c r="F29">
        <f t="shared" si="1"/>
        <v>24.825257591216769</v>
      </c>
      <c r="G29">
        <v>-450.78207400999997</v>
      </c>
      <c r="H29">
        <f t="shared" si="3"/>
        <v>-0.56131308499999888</v>
      </c>
      <c r="J29">
        <v>2</v>
      </c>
    </row>
    <row r="30" spans="1:10" ht="12.75" customHeight="1" x14ac:dyDescent="0.25">
      <c r="B30" t="s">
        <v>55</v>
      </c>
      <c r="C30" t="s">
        <v>59</v>
      </c>
      <c r="D30" t="s">
        <v>43</v>
      </c>
      <c r="E30">
        <v>260.73626000000002</v>
      </c>
      <c r="F30">
        <f t="shared" si="1"/>
        <v>49.876419446160924</v>
      </c>
      <c r="G30">
        <v>-451.87501895999998</v>
      </c>
      <c r="H30">
        <f t="shared" si="3"/>
        <v>-0.73852370666666689</v>
      </c>
      <c r="J30">
        <v>3</v>
      </c>
    </row>
    <row r="32" spans="1:10" ht="12.75" customHeight="1" x14ac:dyDescent="0.25">
      <c r="A32" t="s">
        <v>60</v>
      </c>
      <c r="H32" t="s">
        <v>63</v>
      </c>
    </row>
    <row r="33" spans="1:10" ht="12.75" customHeight="1" x14ac:dyDescent="0.25">
      <c r="A33" t="s">
        <v>61</v>
      </c>
      <c r="B33" t="s">
        <v>34</v>
      </c>
      <c r="C33" t="s">
        <v>38</v>
      </c>
      <c r="E33">
        <v>191.38165000000001</v>
      </c>
      <c r="F33">
        <f t="shared" si="1"/>
        <v>10.010001868165034</v>
      </c>
      <c r="G33">
        <v>-449.75321283</v>
      </c>
      <c r="H33">
        <f>G33-G$16</f>
        <v>1.1790000002065426E-4</v>
      </c>
    </row>
    <row r="34" spans="1:10" ht="12.75" customHeight="1" x14ac:dyDescent="0.25">
      <c r="A34" t="s">
        <v>62</v>
      </c>
      <c r="B34" t="s">
        <v>34</v>
      </c>
      <c r="C34" t="s">
        <v>38</v>
      </c>
      <c r="E34">
        <v>191.38408000000001</v>
      </c>
      <c r="F34">
        <f t="shared" si="1"/>
        <v>10.011398680788091</v>
      </c>
      <c r="G34">
        <v>-449.75318540000001</v>
      </c>
      <c r="H34">
        <f>G34-G$16</f>
        <v>1.4533000000938046E-4</v>
      </c>
    </row>
    <row r="35" spans="1:10" ht="12.75" customHeight="1" x14ac:dyDescent="0.25">
      <c r="A35" t="s">
        <v>64</v>
      </c>
      <c r="B35" t="s">
        <v>34</v>
      </c>
      <c r="C35" t="s">
        <v>38</v>
      </c>
      <c r="E35">
        <v>191.46233000000001</v>
      </c>
      <c r="F35">
        <f t="shared" si="1"/>
        <v>10.056378346530238</v>
      </c>
      <c r="G35">
        <v>-449.75339688000003</v>
      </c>
      <c r="H35">
        <f t="shared" ref="H35" si="4">G35-G$16</f>
        <v>-6.6150000009201904E-5</v>
      </c>
    </row>
    <row r="37" spans="1:10" ht="12.75" customHeight="1" x14ac:dyDescent="0.25">
      <c r="A37" t="s">
        <v>65</v>
      </c>
    </row>
    <row r="38" spans="1:10" ht="12.75" customHeight="1" x14ac:dyDescent="0.25">
      <c r="B38" t="s">
        <v>34</v>
      </c>
      <c r="C38" t="s">
        <v>38</v>
      </c>
      <c r="D38" t="s">
        <v>42</v>
      </c>
      <c r="E38" t="s">
        <v>7</v>
      </c>
      <c r="G38">
        <v>-449.71189327000002</v>
      </c>
      <c r="H38">
        <f>(G38 - G$4 - G$5)/J38</f>
        <v>-5.2445430000042537E-2</v>
      </c>
      <c r="J38">
        <v>1</v>
      </c>
    </row>
    <row r="39" spans="1:10" ht="12.75" customHeight="1" x14ac:dyDescent="0.25">
      <c r="B39" t="s">
        <v>45</v>
      </c>
      <c r="C39" t="s">
        <v>40</v>
      </c>
      <c r="D39" t="s">
        <v>43</v>
      </c>
      <c r="E39" t="s">
        <v>7</v>
      </c>
      <c r="G39">
        <v>-450.83064646000003</v>
      </c>
      <c r="H39">
        <f t="shared" ref="H39:H43" si="5">(G39 - G$4 - G$5)/J39</f>
        <v>-0.58559931000002463</v>
      </c>
      <c r="J39">
        <v>2</v>
      </c>
    </row>
    <row r="40" spans="1:10" ht="12.75" customHeight="1" x14ac:dyDescent="0.25">
      <c r="B40" t="s">
        <v>48</v>
      </c>
      <c r="C40" t="s">
        <v>41</v>
      </c>
      <c r="D40" t="s">
        <v>43</v>
      </c>
      <c r="E40" t="s">
        <v>7</v>
      </c>
      <c r="G40">
        <v>-451.94499368999999</v>
      </c>
      <c r="H40">
        <f t="shared" si="5"/>
        <v>-0.76184861666667114</v>
      </c>
      <c r="J40">
        <v>3</v>
      </c>
    </row>
    <row r="41" spans="1:10" ht="12.75" customHeight="1" x14ac:dyDescent="0.25">
      <c r="B41" t="s">
        <v>49</v>
      </c>
      <c r="C41" t="s">
        <v>13</v>
      </c>
      <c r="D41" t="s">
        <v>43</v>
      </c>
      <c r="E41" t="s">
        <v>7</v>
      </c>
      <c r="G41">
        <v>-449.59796685999999</v>
      </c>
      <c r="H41">
        <f t="shared" si="5"/>
        <v>6.1480979999990693E-2</v>
      </c>
      <c r="J41">
        <v>1</v>
      </c>
    </row>
    <row r="42" spans="1:10" ht="12.75" customHeight="1" x14ac:dyDescent="0.25">
      <c r="B42" t="s">
        <v>52</v>
      </c>
      <c r="C42" t="s">
        <v>58</v>
      </c>
      <c r="D42" t="s">
        <v>43</v>
      </c>
      <c r="E42" t="s">
        <v>7</v>
      </c>
      <c r="G42">
        <v>-450.61407946000003</v>
      </c>
      <c r="H42">
        <f t="shared" si="5"/>
        <v>-0.47731581000002576</v>
      </c>
      <c r="J42">
        <v>2</v>
      </c>
    </row>
    <row r="43" spans="1:10" ht="12.75" customHeight="1" x14ac:dyDescent="0.25">
      <c r="B43" t="s">
        <v>55</v>
      </c>
      <c r="C43" t="s">
        <v>59</v>
      </c>
      <c r="D43" t="s">
        <v>43</v>
      </c>
      <c r="E43" t="s">
        <v>7</v>
      </c>
      <c r="G43">
        <v>-451.64308442999999</v>
      </c>
      <c r="H43">
        <f t="shared" si="5"/>
        <v>-0.66121219666667053</v>
      </c>
      <c r="J43">
        <v>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Bjorn De Busschere</cp:lastModifiedBy>
  <cp:revision>6</cp:revision>
  <dcterms:created xsi:type="dcterms:W3CDTF">2025-11-17T01:20:04Z</dcterms:created>
  <dcterms:modified xsi:type="dcterms:W3CDTF">2025-11-17T15:58:27Z</dcterms:modified>
  <dc:language>en-US</dc:language>
</cp:coreProperties>
</file>