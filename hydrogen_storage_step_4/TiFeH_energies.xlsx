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<sst xmlns="http://schemas.openxmlformats.org/spreadsheetml/2006/main" count="37" uniqueCount="33">
  <si>
    <t xml:space="preserve">Material:</t>
  </si>
  <si>
    <t xml:space="preserve">Initial H position</t>
  </si>
  <si>
    <t xml:space="preserve">Final H position</t>
  </si>
  <si>
    <t xml:space="preserve">Volume (a.u.^3)</t>
  </si>
  <si>
    <t xml:space="preserve">Total energy (Ry)</t>
  </si>
  <si>
    <t xml:space="preserve">Formation energy (Ry)</t>
  </si>
  <si>
    <t xml:space="preserve">Capacity (wt%)</t>
  </si>
  <si>
    <t xml:space="preserve">TiFe</t>
  </si>
  <si>
    <t xml:space="preserve">/</t>
  </si>
  <si>
    <t xml:space="preserve">H</t>
  </si>
  <si>
    <t xml:space="preserve">(0, 0, 0)</t>
  </si>
  <si>
    <t xml:space="preserve">TiFeH (3c)</t>
  </si>
  <si>
    <t xml:space="preserve">(½, ½, 0)</t>
  </si>
  <si>
    <t xml:space="preserve">TiFeH (3d)</t>
  </si>
  <si>
    <t xml:space="preserve">(½, 0, 0)</t>
  </si>
  <si>
    <t xml:space="preserve">TiFeH (8g)</t>
  </si>
  <si>
    <t xml:space="preserve">(¼, ¼, ¼)</t>
  </si>
  <si>
    <t xml:space="preserve">(0.2359737265, 0.2442064295, 0.2978151277)</t>
  </si>
  <si>
    <t xml:space="preserve">TiFeH (6f)</t>
  </si>
  <si>
    <t xml:space="preserve">(½, ½, ¼)</t>
  </si>
  <si>
    <t xml:space="preserve">(0.4999999988, 0.5000000038, 0.0833385404)</t>
  </si>
  <si>
    <t xml:space="preserve">TiFeH (12j)</t>
  </si>
  <si>
    <t xml:space="preserve">(½, ¼, ¼)</t>
  </si>
  <si>
    <t xml:space="preserve">(0.5000000016, 0.1578866936, 0.1578824006)</t>
  </si>
  <si>
    <t xml:space="preserve">TiFeH (24l)</t>
  </si>
  <si>
    <t xml:space="preserve">(½, 0.12, 0.24)</t>
  </si>
  <si>
    <t xml:space="preserve">(0.5000000059, 0.0399984931, 0.4133476880)</t>
  </si>
  <si>
    <t xml:space="preserve">TiFeH (24m)</t>
  </si>
  <si>
    <t xml:space="preserve">(0.12, 0.12, 0.24)</t>
  </si>
  <si>
    <t xml:space="preserve">(0.1145364726, 0.1145364684, 0.4133773422)</t>
  </si>
  <si>
    <t xml:space="preserve">TiFeH (48n)</t>
  </si>
  <si>
    <t xml:space="preserve">(0.12, 0.24, 0.36)</t>
  </si>
  <si>
    <t xml:space="preserve">(0.0400084584, 0.4133463972, 0.4532682078)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</si>
</sst>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57"/>
    <col collapsed="false" customWidth="true" hidden="false" outlineLevel="0" max="2" min="2" style="0" width="19.06"/>
    <col collapsed="false" customWidth="true" hidden="false" outlineLevel="0" max="3" min="3" style="0" width="41.88"/>
    <col collapsed="false" customWidth="true" hidden="false" outlineLevel="0" max="5" min="4" style="0" width="15.72"/>
    <col collapsed="false" customWidth="true" hidden="false" outlineLevel="0" max="6" min="6" style="0" width="19.06"/>
    <col collapsed="false" customWidth="true" hidden="false" outlineLevel="0" max="7" min="7" style="0" width="19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8</v>
      </c>
      <c r="D2" s="0" t="n">
        <v>173.9675</v>
      </c>
      <c r="E2" s="0" t="n">
        <v>-448.58686914</v>
      </c>
    </row>
    <row r="3" customFormat="false" ht="12.8" hidden="false" customHeight="false" outlineLevel="0" collapsed="false">
      <c r="A3" s="0" t="s">
        <v>9</v>
      </c>
      <c r="B3" s="1" t="s">
        <v>10</v>
      </c>
      <c r="C3" s="0" t="s">
        <v>10</v>
      </c>
      <c r="D3" s="0" t="n">
        <v>20.31028</v>
      </c>
      <c r="E3" s="0" t="n">
        <v>-1.0725787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12</v>
      </c>
      <c r="D5" s="0" t="n">
        <v>191.3641</v>
      </c>
      <c r="E5" s="0" t="n">
        <v>-449.75319983</v>
      </c>
      <c r="F5" s="0" t="n">
        <f aca="false">E5 - E$2 - E$3</f>
        <v>-0.0937519900000521</v>
      </c>
      <c r="G5" s="0" t="n">
        <f aca="false">1.00784 / (1.00784 + 58.6934 + 47.867) * 100</f>
        <v>0.936930826422372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14</v>
      </c>
      <c r="D6" s="0" t="n">
        <v>188.96531</v>
      </c>
      <c r="E6" s="0" t="n">
        <v>-449.71673678</v>
      </c>
      <c r="F6" s="0" t="n">
        <f aca="false">E6 - E$2 - E$3</f>
        <v>-0.0572889400000431</v>
      </c>
      <c r="G6" s="0" t="n">
        <f aca="false">1.00784 / (1.00784 + 58.6934 + 47.867) * 100</f>
        <v>0.936930826422372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17</v>
      </c>
      <c r="D7" s="0" t="n">
        <v>194.87518</v>
      </c>
      <c r="E7" s="0" t="n">
        <v>-449.70183076</v>
      </c>
      <c r="F7" s="0" t="n">
        <f aca="false">E7 - E$2 - E$3</f>
        <v>-0.042382920000031</v>
      </c>
      <c r="G7" s="0" t="n">
        <f aca="false">1.00784 / (1.00784 + 58.6934 + 47.867) * 100</f>
        <v>0.936930826422372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20</v>
      </c>
      <c r="D8" s="0" t="n">
        <v>191.3628</v>
      </c>
      <c r="E8" s="0" t="n">
        <v>-449.75319983</v>
      </c>
      <c r="F8" s="0" t="n">
        <f aca="false">E8 - E$2 - E$3</f>
        <v>-0.0937519900000521</v>
      </c>
      <c r="G8" s="0" t="n">
        <f aca="false">1.00784 / (1.00784 + 58.6934 + 47.867) * 100</f>
        <v>0.936930826422372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  <c r="D9" s="0" t="n">
        <v>191.59933</v>
      </c>
      <c r="E9" s="0" t="n">
        <v>-449.72437517</v>
      </c>
      <c r="F9" s="0" t="n">
        <f aca="false">E9 - E$2 - E$3</f>
        <v>-0.0649273299999973</v>
      </c>
      <c r="G9" s="0" t="n">
        <f aca="false">1.00784 / (1.00784 + 58.6934 + 47.867) * 100</f>
        <v>0.936930826422372</v>
      </c>
    </row>
    <row r="10" customFormat="false" ht="12.8" hidden="false" customHeight="false" outlineLevel="0" collapsed="false">
      <c r="A10" s="0" t="s">
        <v>24</v>
      </c>
      <c r="B10" s="0" t="s">
        <v>25</v>
      </c>
      <c r="C10" s="0" t="s">
        <v>26</v>
      </c>
      <c r="D10" s="0" t="n">
        <v>191.35813</v>
      </c>
      <c r="E10" s="0" t="n">
        <v>-449.75319976</v>
      </c>
      <c r="F10" s="0" t="n">
        <f aca="false">E10 - E$2 - E$3</f>
        <v>-0.0937519199999966</v>
      </c>
      <c r="G10" s="0" t="n">
        <f aca="false">1.00784 / (1.00784 + 58.6934 + 47.867) * 100</f>
        <v>0.936930826422372</v>
      </c>
    </row>
    <row r="11" customFormat="false" ht="12.8" hidden="false" customHeight="false" outlineLevel="0" collapsed="false">
      <c r="A11" s="0" t="s">
        <v>27</v>
      </c>
      <c r="B11" s="0" t="s">
        <v>28</v>
      </c>
      <c r="C11" s="0" t="s">
        <v>29</v>
      </c>
      <c r="D11" s="0" t="n">
        <v>191.60181</v>
      </c>
      <c r="E11" s="0" t="n">
        <v>-449.72437463</v>
      </c>
      <c r="F11" s="0" t="n">
        <f aca="false">E11 - E$2 - E$3</f>
        <v>-0.0649267900000237</v>
      </c>
      <c r="G11" s="0" t="n">
        <f aca="false">1.00784 / (1.00784 + 58.6934 + 47.867) * 100</f>
        <v>0.936930826422372</v>
      </c>
    </row>
    <row r="12" customFormat="false" ht="12.8" hidden="false" customHeight="false" outlineLevel="0" collapsed="false">
      <c r="A12" s="0" t="s">
        <v>30</v>
      </c>
      <c r="B12" s="0" t="s">
        <v>31</v>
      </c>
      <c r="C12" s="0" t="s">
        <v>32</v>
      </c>
      <c r="D12" s="0" t="n">
        <v>191.3603</v>
      </c>
      <c r="E12" s="0" t="n">
        <v>-449.75319976</v>
      </c>
      <c r="F12" s="0" t="n">
        <f aca="false">E12 - E$2 - E$3</f>
        <v>-0.0937519199999966</v>
      </c>
      <c r="G12" s="0" t="n">
        <f aca="false">1.00784 / (1.00784 + 58.6934 + 47.867) * 100</f>
        <v>0.936930826422372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2025-11-17T01:20:04Z</dcterms:created>
  <dc:creator/>
  <dc:description/>
  <dc:language>en-US</dc:language>
  <cp:lastModifiedBy/>
  <dcterms:modified xsi:type="dcterms:W3CDTF">2025-11-17T02:12:29Z</dcterms:modified>
  <cp:revision>6</cp:revision>
  <dc:subject/>
  <dc:title/>
</cp:coreProperties>
</file>