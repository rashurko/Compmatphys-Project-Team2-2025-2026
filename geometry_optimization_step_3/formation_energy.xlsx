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jorn\fysica Master 2\Computationan fysics\project\"/>
    </mc:Choice>
  </mc:AlternateContent>
  <xr:revisionPtr revIDLastSave="0" documentId="13_ncr:1_{6C8C1379-D8B0-45F2-B7B1-8C627A0030D0}" xr6:coauthVersionLast="47" xr6:coauthVersionMax="47" xr10:uidLastSave="{00000000-0000-0000-0000-000000000000}"/>
  <bookViews>
    <workbookView xWindow="-108" yWindow="-108" windowWidth="23256" windowHeight="12456" xr2:uid="{9A163B12-65A9-43A5-843A-0F1334D78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9" i="1"/>
  <c r="F8" i="1"/>
  <c r="F7" i="1"/>
  <c r="E4" i="1"/>
  <c r="E13" i="1"/>
  <c r="E12" i="1"/>
  <c r="E11" i="1"/>
  <c r="E9" i="1"/>
  <c r="E7" i="1"/>
  <c r="E2" i="1"/>
  <c r="E3" i="1"/>
  <c r="E8" i="1"/>
  <c r="E5" i="1"/>
</calcChain>
</file>

<file path=xl/sharedStrings.xml><?xml version="1.0" encoding="utf-8"?>
<sst xmlns="http://schemas.openxmlformats.org/spreadsheetml/2006/main" count="25" uniqueCount="16">
  <si>
    <t>Ni</t>
  </si>
  <si>
    <t>Fe</t>
  </si>
  <si>
    <t>TiFe</t>
  </si>
  <si>
    <t>TiFe2 cub</t>
  </si>
  <si>
    <t>Ti</t>
  </si>
  <si>
    <t>TiFE2 hex</t>
  </si>
  <si>
    <t>Hf</t>
  </si>
  <si>
    <t>HfFe</t>
  </si>
  <si>
    <t>HfFe2 cub</t>
  </si>
  <si>
    <t>HfFe2 hex</t>
  </si>
  <si>
    <t>energy (Ry)</t>
  </si>
  <si>
    <t>number of atoms in unit cell</t>
  </si>
  <si>
    <t>structure</t>
  </si>
  <si>
    <t>energy per atom in unit cell</t>
  </si>
  <si>
    <t>formation energy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</si>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</sst>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56DA-7D8C-43E9-AD2E-17496364EF44}">
  <dimension ref="A1:G13"/>
  <sheetViews>
    <sheetView tabSelected="1" workbookViewId="0">
      <selection activeCell="I11" sqref="I11"/>
    </sheetView>
  </sheetViews>
  <sheetFormatPr defaultRowHeight="14.4" x14ac:dyDescent="0.3"/>
  <cols>
    <col min="2" max="2" width="16" customWidth="1"/>
    <col min="3" max="3" width="23.109375" bestFit="1" customWidth="1"/>
    <col min="5" max="5" width="22.44140625" bestFit="1" customWidth="1"/>
    <col min="6" max="6" width="20.88671875" customWidth="1"/>
  </cols>
  <sheetData>
    <row r="1" spans="1:7" x14ac:dyDescent="0.3">
      <c r="A1" t="s">
        <v>12</v>
      </c>
      <c r="B1" t="s">
        <v>10</v>
      </c>
      <c r="C1" t="s">
        <v>11</v>
      </c>
      <c r="E1" t="s">
        <v>13</v>
      </c>
      <c r="F1" t="s">
        <v>14</v>
      </c>
    </row>
    <row r="2" spans="1:7" x14ac:dyDescent="0.3">
      <c r="A2" t="s">
        <v>4</v>
      </c>
      <c r="B2">
        <v>-357.75472723000001</v>
      </c>
      <c r="C2">
        <v>3</v>
      </c>
      <c r="E2">
        <f>B2/C2</f>
        <v>-119.25157574333333</v>
      </c>
    </row>
    <row r="3" spans="1:7" x14ac:dyDescent="0.3">
      <c r="A3" t="s">
        <v>6</v>
      </c>
      <c r="B3">
        <v>-225.66094867000001</v>
      </c>
      <c r="C3">
        <v>2</v>
      </c>
      <c r="E3">
        <f>B3/C3</f>
        <v>-112.83047433500001</v>
      </c>
    </row>
    <row r="4" spans="1:7" x14ac:dyDescent="0.3">
      <c r="A4" t="s">
        <v>0</v>
      </c>
      <c r="B4">
        <v>-1373.1237436700001</v>
      </c>
      <c r="C4">
        <v>4</v>
      </c>
      <c r="E4">
        <f>B4/C4</f>
        <v>-343.28093591750002</v>
      </c>
    </row>
    <row r="5" spans="1:7" x14ac:dyDescent="0.3">
      <c r="A5" t="s">
        <v>1</v>
      </c>
      <c r="B5">
        <v>-329.27224982000001</v>
      </c>
      <c r="C5">
        <v>1</v>
      </c>
      <c r="E5">
        <f>B5/C5</f>
        <v>-329.27224982000001</v>
      </c>
    </row>
    <row r="6" spans="1:7" x14ac:dyDescent="0.3">
      <c r="C6" t="s">
        <v>4</v>
      </c>
      <c r="D6" t="s">
        <v>1</v>
      </c>
    </row>
    <row r="7" spans="1:7" x14ac:dyDescent="0.3">
      <c r="A7" t="s">
        <v>2</v>
      </c>
      <c r="B7">
        <v>-448.58686913999998</v>
      </c>
      <c r="C7">
        <v>1</v>
      </c>
      <c r="D7">
        <v>1</v>
      </c>
      <c r="E7">
        <f>B7/1</f>
        <v>-448.58686913999998</v>
      </c>
      <c r="F7">
        <f>E7-(E5+E2)</f>
        <v>-6.304357666664373E-2</v>
      </c>
      <c r="G7" t="s">
        <v>15</v>
      </c>
    </row>
    <row r="8" spans="1:7" x14ac:dyDescent="0.3">
      <c r="A8" t="s">
        <v>3</v>
      </c>
      <c r="B8">
        <v>-6222.8987875399998</v>
      </c>
      <c r="C8">
        <v>8</v>
      </c>
      <c r="D8">
        <v>16</v>
      </c>
      <c r="E8">
        <f>B8/C8</f>
        <v>-777.86234844249998</v>
      </c>
      <c r="F8">
        <f>E8-(2*E5+E2)</f>
        <v>-6.6273059166633175E-2</v>
      </c>
      <c r="G8" t="s">
        <v>15</v>
      </c>
    </row>
    <row r="9" spans="1:7" x14ac:dyDescent="0.3">
      <c r="A9" t="s">
        <v>5</v>
      </c>
      <c r="B9">
        <v>-3111.4416204499998</v>
      </c>
      <c r="C9">
        <v>4</v>
      </c>
      <c r="D9">
        <v>8</v>
      </c>
      <c r="E9">
        <f>B9/4</f>
        <v>-777.86040511249996</v>
      </c>
      <c r="F9">
        <f>E9-(2*E5+E2)</f>
        <v>-6.4329729166615834E-2</v>
      </c>
      <c r="G9" t="s">
        <v>15</v>
      </c>
    </row>
    <row r="10" spans="1:7" x14ac:dyDescent="0.3">
      <c r="C10" t="s">
        <v>6</v>
      </c>
      <c r="D10" t="s">
        <v>1</v>
      </c>
    </row>
    <row r="11" spans="1:7" x14ac:dyDescent="0.3">
      <c r="A11" t="s">
        <v>7</v>
      </c>
      <c r="B11">
        <v>-442.15122549</v>
      </c>
      <c r="C11">
        <v>1</v>
      </c>
      <c r="D11">
        <v>1</v>
      </c>
      <c r="E11">
        <f>B11/1</f>
        <v>-442.15122549</v>
      </c>
      <c r="F11">
        <f>E11-(E5+E3)</f>
        <v>-4.8501334999969004E-2</v>
      </c>
      <c r="G11" t="s">
        <v>15</v>
      </c>
    </row>
    <row r="12" spans="1:7" x14ac:dyDescent="0.3">
      <c r="A12" t="s">
        <v>8</v>
      </c>
      <c r="B12">
        <v>-6171.6291833499999</v>
      </c>
      <c r="C12">
        <v>8</v>
      </c>
      <c r="D12">
        <v>16</v>
      </c>
      <c r="E12">
        <f>B12/8</f>
        <v>-771.45364791874999</v>
      </c>
      <c r="F12">
        <f>E12-(2*E5+E3)</f>
        <v>-7.8673943750004582E-2</v>
      </c>
      <c r="G12" t="s">
        <v>15</v>
      </c>
    </row>
    <row r="13" spans="1:7" x14ac:dyDescent="0.3">
      <c r="A13" t="s">
        <v>9</v>
      </c>
      <c r="B13">
        <v>-3085.8012332799999</v>
      </c>
      <c r="C13">
        <v>4</v>
      </c>
      <c r="D13">
        <v>8</v>
      </c>
      <c r="E13">
        <f>B13/4</f>
        <v>-771.45030831999998</v>
      </c>
      <c r="F13">
        <f>E13-(2*E5+E3)</f>
        <v>-7.5334344999987479E-2</v>
      </c>
      <c r="G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Bjorn De Busschere</dc:creator>
  <cp:lastModifiedBy>Bjorn De Busschere</cp:lastModifiedBy>
  <dcterms:created xsi:type="dcterms:W3CDTF">2025-11-12T10:40:32Z</dcterms:created>
  <dcterms:modified xsi:type="dcterms:W3CDTF">2025-11-12T19:51:11Z</dcterms:modified>
</cp:coreProperties>
</file>