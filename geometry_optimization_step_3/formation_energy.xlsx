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<sst xmlns="http://schemas.openxmlformats.org/spreadsheetml/2006/main" count="36" uniqueCount="22">
  <si>
    <t xml:space="preserve">structure</t>
  </si>
  <si>
    <t xml:space="preserve">energy (Ry)</t>
  </si>
  <si>
    <t xml:space="preserve">number of atoms in unit cell</t>
  </si>
  <si>
    <t xml:space="preserve">energy per atom in unit cell</t>
  </si>
  <si>
    <t xml:space="preserve">formation energy (Ry)</t>
  </si>
  <si>
    <t xml:space="preserve">energy per atom (Ry/atom)</t>
  </si>
  <si>
    <t xml:space="preserve">formation energy (Ry/atom)</t>
  </si>
  <si>
    <t xml:space="preserve">formation energy (eV/atom)</t>
  </si>
  <si>
    <t xml:space="preserve">Ti</t>
  </si>
  <si>
    <t xml:space="preserve">Hf</t>
  </si>
  <si>
    <t xml:space="preserve">Ni</t>
  </si>
  <si>
    <t xml:space="preserve">Fe</t>
  </si>
  <si>
    <t xml:space="preserve">TiFe</t>
  </si>
  <si>
    <t xml:space="preserve">Ry</t>
  </si>
  <si>
    <t xml:space="preserve">TiFe2 cub</t>
  </si>
  <si>
    <t xml:space="preserve">TiFE2 hex</t>
  </si>
  <si>
    <t xml:space="preserve">HfFe</t>
  </si>
  <si>
    <t xml:space="preserve">HfFe2 cub</t>
  </si>
  <si>
    <t xml:space="preserve">HfFe2 hex</t>
  </si>
  <si>
    <t xml:space="preserve">TiNi</t>
  </si>
  <si>
    <t xml:space="preserve">TiNi2 cub</t>
  </si>
  <si>
    <t xml:space="preserve">TiNi2 hex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</si>
</sst>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124200</xdr:rowOff>
    </xdr:from>
    <xdr:to>
      <xdr:col>5</xdr:col>
      <xdr:colOff>856080</xdr:colOff>
      <xdr:row>37</xdr:row>
      <xdr:rowOff>51120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3562560"/>
          <a:ext cx="9471240" cy="3184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5</xdr:col>
      <xdr:colOff>846360</xdr:colOff>
      <xdr:row>55</xdr:row>
      <xdr:rowOff>104760</xdr:rowOff>
    </xdr:to>
    <xdr:pic>
      <xdr:nvPicPr>
        <xdr:cNvPr id="1" name="Image 2" descr=""/>
        <xdr:cNvPicPr/>
      </xdr:nvPicPr>
      <xdr:blipFill>
        <a:blip r:embed="rId2"/>
        <a:stretch/>
      </xdr:blipFill>
      <xdr:spPr>
        <a:xfrm>
          <a:off x="0" y="6877080"/>
          <a:ext cx="9461520" cy="3181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5</xdr:col>
      <xdr:colOff>856080</xdr:colOff>
      <xdr:row>73</xdr:row>
      <xdr:rowOff>108000</xdr:rowOff>
    </xdr:to>
    <xdr:pic>
      <xdr:nvPicPr>
        <xdr:cNvPr id="2" name="Image 3" descr=""/>
        <xdr:cNvPicPr/>
      </xdr:nvPicPr>
      <xdr:blipFill>
        <a:blip r:embed="rId3"/>
        <a:stretch/>
      </xdr:blipFill>
      <xdr:spPr>
        <a:xfrm>
          <a:off x="0" y="10134720"/>
          <a:ext cx="9471240" cy="3184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5" activeCellId="0" sqref="J15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0" width="16.54"/>
    <col collapsed="false" customWidth="true" hidden="false" outlineLevel="0" max="2" min="2" style="0" width="16"/>
    <col collapsed="false" customWidth="true" hidden="false" outlineLevel="0" max="3" min="3" style="0" width="27.57"/>
    <col collapsed="false" customWidth="true" hidden="false" outlineLevel="0" max="5" min="5" style="0" width="38.97"/>
    <col collapsed="false" customWidth="true" hidden="false" outlineLevel="0" max="6" min="6" style="0" width="25"/>
    <col collapsed="false" customWidth="true" hidden="false" outlineLevel="0" max="8" min="8" style="0" width="26.1"/>
    <col collapsed="false" customWidth="true" hidden="false" outlineLevel="0" max="9" min="9" style="0" width="31.98"/>
    <col collapsed="false" customWidth="true" hidden="false" outlineLevel="0" max="10" min="10" style="0" width="31.74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E1" s="0" t="s">
        <v>3</v>
      </c>
      <c r="F1" s="0" t="s">
        <v>4</v>
      </c>
      <c r="H1" s="0" t="s">
        <v>5</v>
      </c>
      <c r="I1" s="0" t="s">
        <v>6</v>
      </c>
      <c r="J1" s="0" t="s">
        <v>7</v>
      </c>
    </row>
    <row r="2" customFormat="false" ht="14.25" hidden="false" customHeight="false" outlineLevel="0" collapsed="false">
      <c r="A2" s="0" t="s">
        <v>8</v>
      </c>
      <c r="B2" s="0" t="n">
        <v>-357.75472723</v>
      </c>
      <c r="C2" s="0" t="n">
        <v>3</v>
      </c>
      <c r="E2" s="0" t="n">
        <f aca="false">B2/C2</f>
        <v>-119.251575743333</v>
      </c>
    </row>
    <row r="3" customFormat="false" ht="14.25" hidden="false" customHeight="false" outlineLevel="0" collapsed="false">
      <c r="A3" s="0" t="s">
        <v>9</v>
      </c>
      <c r="B3" s="0" t="n">
        <v>-225.66094867</v>
      </c>
      <c r="C3" s="0" t="n">
        <v>2</v>
      </c>
      <c r="E3" s="0" t="n">
        <f aca="false">B3/C3</f>
        <v>-112.830474335</v>
      </c>
    </row>
    <row r="4" customFormat="false" ht="14.25" hidden="false" customHeight="false" outlineLevel="0" collapsed="false">
      <c r="A4" s="0" t="s">
        <v>10</v>
      </c>
      <c r="B4" s="0" t="n">
        <v>-1373.12374367</v>
      </c>
      <c r="C4" s="0" t="n">
        <v>4</v>
      </c>
      <c r="E4" s="0" t="n">
        <f aca="false">B4/C4</f>
        <v>-343.2809359175</v>
      </c>
    </row>
    <row r="5" customFormat="false" ht="14.25" hidden="false" customHeight="false" outlineLevel="0" collapsed="false">
      <c r="A5" s="0" t="s">
        <v>11</v>
      </c>
      <c r="B5" s="0" t="n">
        <v>-329.27224982</v>
      </c>
      <c r="C5" s="0" t="n">
        <v>1</v>
      </c>
      <c r="E5" s="0" t="n">
        <f aca="false">B5/C5</f>
        <v>-329.27224982</v>
      </c>
    </row>
    <row r="6" customFormat="false" ht="14.25" hidden="false" customHeight="false" outlineLevel="0" collapsed="false">
      <c r="C6" s="0" t="s">
        <v>8</v>
      </c>
      <c r="D6" s="0" t="s">
        <v>11</v>
      </c>
    </row>
    <row r="7" customFormat="false" ht="14.25" hidden="false" customHeight="false" outlineLevel="0" collapsed="false">
      <c r="A7" s="0" t="s">
        <v>12</v>
      </c>
      <c r="B7" s="0" t="n">
        <v>-448.58686914</v>
      </c>
      <c r="C7" s="0" t="n">
        <v>1</v>
      </c>
      <c r="D7" s="0" t="n">
        <v>1</v>
      </c>
      <c r="E7" s="0" t="n">
        <f aca="false">B7/1</f>
        <v>-448.58686914</v>
      </c>
      <c r="F7" s="0" t="n">
        <f aca="false">E7-(E5+E2)</f>
        <v>-0.0630435766666437</v>
      </c>
      <c r="G7" s="0" t="s">
        <v>13</v>
      </c>
      <c r="H7" s="0" t="n">
        <f aca="false">B7 / 2</f>
        <v>-224.29343457</v>
      </c>
      <c r="I7" s="0" t="n">
        <f aca="false">H7-(E2+E5)/2</f>
        <v>-0.0315217883333219</v>
      </c>
      <c r="J7" s="0" t="n">
        <f aca="false">I7 * 13.605703976</f>
        <v>-0.428876120857308</v>
      </c>
    </row>
    <row r="8" customFormat="false" ht="14.25" hidden="false" customHeight="false" outlineLevel="0" collapsed="false">
      <c r="A8" s="0" t="s">
        <v>14</v>
      </c>
      <c r="B8" s="0" t="n">
        <v>-6222.89878754</v>
      </c>
      <c r="C8" s="0" t="n">
        <v>8</v>
      </c>
      <c r="D8" s="0" t="n">
        <v>16</v>
      </c>
      <c r="E8" s="0" t="n">
        <f aca="false">B8/C8</f>
        <v>-777.8623484425</v>
      </c>
      <c r="F8" s="0" t="n">
        <f aca="false">E8-(2*E5+E2)</f>
        <v>-0.0662730591666332</v>
      </c>
      <c r="G8" s="0" t="s">
        <v>13</v>
      </c>
      <c r="H8" s="0" t="n">
        <f aca="false">B8 / 24</f>
        <v>-259.287449480833</v>
      </c>
      <c r="I8" s="0" t="n">
        <f aca="false">H8-(E2+2*E5)/3</f>
        <v>-0.0220910197222111</v>
      </c>
      <c r="J8" s="0" t="n">
        <f aca="false">I8 * 13.605703976</f>
        <v>-0.300563874868381</v>
      </c>
    </row>
    <row r="9" customFormat="false" ht="14.25" hidden="false" customHeight="false" outlineLevel="0" collapsed="false">
      <c r="A9" s="0" t="s">
        <v>15</v>
      </c>
      <c r="B9" s="0" t="n">
        <v>-3111.44162045</v>
      </c>
      <c r="C9" s="0" t="n">
        <v>4</v>
      </c>
      <c r="D9" s="0" t="n">
        <v>8</v>
      </c>
      <c r="E9" s="0" t="n">
        <f aca="false">B9/4</f>
        <v>-777.8604051125</v>
      </c>
      <c r="F9" s="0" t="n">
        <f aca="false">E9-(2*E5+E2)</f>
        <v>-0.0643297291666158</v>
      </c>
      <c r="G9" s="0" t="s">
        <v>13</v>
      </c>
      <c r="H9" s="0" t="n">
        <f aca="false">B9 / 12</f>
        <v>-259.286801704167</v>
      </c>
      <c r="I9" s="0" t="n">
        <f aca="false">H9-(E2+2*E5)/3</f>
        <v>-0.0214432430555007</v>
      </c>
      <c r="J9" s="0" t="n">
        <f aca="false">I9 * 13.605703976</f>
        <v>-0.29175041729856</v>
      </c>
    </row>
    <row r="10" customFormat="false" ht="14.25" hidden="false" customHeight="false" outlineLevel="0" collapsed="false">
      <c r="C10" s="0" t="s">
        <v>9</v>
      </c>
      <c r="D10" s="0" t="s">
        <v>11</v>
      </c>
    </row>
    <row r="11" customFormat="false" ht="14.25" hidden="false" customHeight="false" outlineLevel="0" collapsed="false">
      <c r="A11" s="0" t="s">
        <v>16</v>
      </c>
      <c r="B11" s="0" t="n">
        <v>-442.15122549</v>
      </c>
      <c r="C11" s="0" t="n">
        <v>1</v>
      </c>
      <c r="D11" s="0" t="n">
        <v>1</v>
      </c>
      <c r="E11" s="0" t="n">
        <f aca="false">B11/1</f>
        <v>-442.15122549</v>
      </c>
      <c r="F11" s="0" t="n">
        <f aca="false">E11-(E5+E3)</f>
        <v>-0.048501334999969</v>
      </c>
      <c r="G11" s="0" t="s">
        <v>13</v>
      </c>
      <c r="H11" s="0" t="n">
        <f aca="false">B11 / 2</f>
        <v>-221.075612745</v>
      </c>
      <c r="I11" s="0" t="n">
        <f aca="false">H11-(E3+E5)/2</f>
        <v>-0.0242506674999845</v>
      </c>
      <c r="J11" s="0" t="n">
        <f aca="false">I11 * 13.605703976</f>
        <v>-0.329947403225193</v>
      </c>
    </row>
    <row r="12" customFormat="false" ht="14.25" hidden="false" customHeight="false" outlineLevel="0" collapsed="false">
      <c r="A12" s="0" t="s">
        <v>17</v>
      </c>
      <c r="B12" s="0" t="n">
        <v>-6171.62918335</v>
      </c>
      <c r="C12" s="0" t="n">
        <v>8</v>
      </c>
      <c r="D12" s="0" t="n">
        <v>16</v>
      </c>
      <c r="E12" s="0" t="n">
        <f aca="false">B12/8</f>
        <v>-771.45364791875</v>
      </c>
      <c r="F12" s="0" t="n">
        <f aca="false">E12-(2*E5+E3)</f>
        <v>-0.0786739437500046</v>
      </c>
      <c r="G12" s="0" t="s">
        <v>13</v>
      </c>
      <c r="H12" s="0" t="n">
        <f aca="false">B12 / 24</f>
        <v>-257.151215972917</v>
      </c>
      <c r="I12" s="0" t="n">
        <f aca="false">H12-(E3+2*E5)/3</f>
        <v>-0.0262246479166492</v>
      </c>
      <c r="J12" s="0" t="n">
        <f aca="false">I12 * 13.605703976</f>
        <v>-0.356804796428755</v>
      </c>
    </row>
    <row r="13" customFormat="false" ht="14.25" hidden="false" customHeight="false" outlineLevel="0" collapsed="false">
      <c r="A13" s="0" t="s">
        <v>18</v>
      </c>
      <c r="B13" s="0" t="n">
        <v>-3085.80123328</v>
      </c>
      <c r="C13" s="0" t="n">
        <v>4</v>
      </c>
      <c r="D13" s="0" t="n">
        <v>8</v>
      </c>
      <c r="E13" s="0" t="n">
        <f aca="false">B13/4</f>
        <v>-771.45030832</v>
      </c>
      <c r="F13" s="0" t="n">
        <f aca="false">E13-(2*E5+E3)</f>
        <v>-0.0753343449999875</v>
      </c>
      <c r="G13" s="0" t="s">
        <v>13</v>
      </c>
      <c r="H13" s="0" t="n">
        <f aca="false">B13 / 12</f>
        <v>-257.150102773333</v>
      </c>
      <c r="I13" s="0" t="n">
        <f aca="false">H13-(E3+2*E5)/3</f>
        <v>-0.0251114483333481</v>
      </c>
      <c r="J13" s="0" t="n">
        <f aca="false">I13 * 13.605703976</f>
        <v>-0.341658932432153</v>
      </c>
    </row>
    <row r="14" customFormat="false" ht="14.25" hidden="false" customHeight="false" outlineLevel="0" collapsed="false">
      <c r="C14" s="0" t="s">
        <v>8</v>
      </c>
      <c r="D14" s="0" t="s">
        <v>10</v>
      </c>
    </row>
    <row r="15" customFormat="false" ht="14.25" hidden="false" customHeight="false" outlineLevel="0" collapsed="false">
      <c r="A15" s="0" t="s">
        <v>19</v>
      </c>
      <c r="B15" s="0" t="n">
        <v>-462.58353809</v>
      </c>
      <c r="C15" s="0" t="n">
        <v>1</v>
      </c>
      <c r="D15" s="0" t="n">
        <v>1</v>
      </c>
      <c r="E15" s="0" t="n">
        <f aca="false">B15/1</f>
        <v>-462.58353809</v>
      </c>
      <c r="F15" s="0" t="n">
        <f aca="false">E15-(E4+E2)</f>
        <v>-0.0510264291666545</v>
      </c>
      <c r="G15" s="0" t="s">
        <v>13</v>
      </c>
      <c r="H15" s="0" t="n">
        <f aca="false">B15 / 2</f>
        <v>-231.291769045</v>
      </c>
      <c r="I15" s="0" t="n">
        <f aca="false">H15-(E2+E4)/2</f>
        <v>-0.0255132145833272</v>
      </c>
      <c r="J15" s="0" t="n">
        <f aca="false">I15 * 13.605703976</f>
        <v>-0.347125245096916</v>
      </c>
    </row>
    <row r="16" customFormat="false" ht="14.25" hidden="false" customHeight="false" outlineLevel="0" collapsed="false">
      <c r="A16" s="0" t="s">
        <v>20</v>
      </c>
      <c r="B16" s="0" t="n">
        <v>-6447.12953656</v>
      </c>
      <c r="C16" s="0" t="n">
        <v>8</v>
      </c>
      <c r="D16" s="0" t="n">
        <v>16</v>
      </c>
      <c r="E16" s="0" t="n">
        <f aca="false">B16/8</f>
        <v>-805.89119207</v>
      </c>
      <c r="F16" s="0" t="n">
        <f aca="false">E16-(2*E4+E2)</f>
        <v>-0.0777444916666354</v>
      </c>
      <c r="G16" s="0" t="s">
        <v>13</v>
      </c>
      <c r="H16" s="0" t="n">
        <f aca="false">B16 / 24</f>
        <v>-268.630397356667</v>
      </c>
      <c r="I16" s="0" t="n">
        <f aca="false">H16-(E2+2*E4)/3</f>
        <v>-0.0259148305555641</v>
      </c>
      <c r="J16" s="0" t="n">
        <f aca="false">I16 * 13.605703976</f>
        <v>-0.352589513127205</v>
      </c>
    </row>
    <row r="17" customFormat="false" ht="14.25" hidden="false" customHeight="false" outlineLevel="0" collapsed="false">
      <c r="A17" s="0" t="s">
        <v>21</v>
      </c>
      <c r="B17" s="0" t="n">
        <v>-3223.5559349</v>
      </c>
      <c r="C17" s="0" t="n">
        <v>4</v>
      </c>
      <c r="D17" s="0" t="n">
        <v>8</v>
      </c>
      <c r="E17" s="0" t="n">
        <f aca="false">B17/4</f>
        <v>-805.888983725</v>
      </c>
      <c r="F17" s="0" t="n">
        <f aca="false">E17 - (2*E4+E2)</f>
        <v>-0.07553614666665</v>
      </c>
      <c r="G17" s="0" t="s">
        <v>13</v>
      </c>
      <c r="H17" s="0" t="n">
        <f aca="false">B17 / 12</f>
        <v>-268.629661241667</v>
      </c>
      <c r="I17" s="0" t="n">
        <f aca="false">H17-(E2+2*E4)/3</f>
        <v>-0.0251787155555689</v>
      </c>
      <c r="J17" s="0" t="n">
        <f aca="false">I17 * 13.605703976</f>
        <v>-0.342574150344977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2025-11-12T10:40:32Z</dcterms:created>
  <dc:creator>Bjorn De Busschere</dc:creator>
  <dc:description/>
  <dc:language>en-US</dc:language>
  <cp:lastModifiedBy/>
  <dcterms:modified xsi:type="dcterms:W3CDTF">2025-11-15T20:25:14Z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