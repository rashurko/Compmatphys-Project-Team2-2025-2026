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<sst xmlns="http://schemas.openxmlformats.org/spreadsheetml/2006/main" count="51" uniqueCount="38">
  <si>
    <t xml:space="preserve">Material:</t>
  </si>
  <si>
    <t xml:space="preserve">Initial H position</t>
  </si>
  <si>
    <t xml:space="preserve">Final H position</t>
  </si>
  <si>
    <t xml:space="preserve">Volume (a.u.^3)</t>
  </si>
  <si>
    <t xml:space="preserve">Volume change (%)</t>
  </si>
  <si>
    <t xml:space="preserve">Total energy (Ry)</t>
  </si>
  <si>
    <t xml:space="preserve">Insertion energy (Ry) per H</t>
  </si>
  <si>
    <t xml:space="preserve">Insertion energy (Ry) per atom</t>
  </si>
  <si>
    <t xml:space="preserve">Capacity (wt%)</t>
  </si>
  <si>
    <t xml:space="preserve"># H</t>
  </si>
  <si>
    <t xml:space="preserve">TiFe</t>
  </si>
  <si>
    <t xml:space="preserve">/</t>
  </si>
  <si>
    <t xml:space="preserve">H</t>
  </si>
  <si>
    <t xml:space="preserve">(0, 0, 0)</t>
  </si>
  <si>
    <t xml:space="preserve">(hex)</t>
  </si>
  <si>
    <t xml:space="preserve">TiFe2</t>
  </si>
  <si>
    <t xml:space="preserve">TiFe2H0.25 (int)</t>
  </si>
  <si>
    <t xml:space="preserve">(0, 0, 0.3091881100)</t>
  </si>
  <si>
    <t xml:space="preserve">(did not converge in 300 iterations)</t>
  </si>
  <si>
    <t xml:space="preserve">TiFe2H0.5 (2b)</t>
  </si>
  <si>
    <t xml:space="preserve">(0, 0, 0.25), (0, 0, 0.75)</t>
  </si>
  <si>
    <t xml:space="preserve">TiFe2H0.5 (2c)</t>
  </si>
  <si>
    <t xml:space="preserve">(1/3, 2/3, ¼), (2/3, 1/3, ¼)</t>
  </si>
  <si>
    <t xml:space="preserve">TiFe2H0.5 (2d)</t>
  </si>
  <si>
    <t xml:space="preserve">(1/3, 2/3, ¾), (2/3, 1/3, ¼)</t>
  </si>
  <si>
    <t xml:space="preserve">TiFe2H (4e)</t>
  </si>
  <si>
    <t xml:space="preserve">(0, 0, 0.3), (0, 0, 0.8), (0, 0, -0.3), (0, 0, 0.2)</t>
  </si>
  <si>
    <t xml:space="preserve">TiFe2H1.5 (6g)</t>
  </si>
  <si>
    <t xml:space="preserve">(0.5, 0, 0), (0, 0.5, 0), (0.5, 0.5, 0), (0.5, 0, 0.5), (0, 0, 0.5), (0.5, 0.5, 0.5)</t>
  </si>
  <si>
    <t xml:space="preserve">=</t>
  </si>
  <si>
    <t xml:space="preserve"> TiFe2H0.5 (int)</t>
  </si>
  <si>
    <t xml:space="preserve">(0, 0.5, 0), (0.5, 0, 0.5)</t>
  </si>
  <si>
    <t xml:space="preserve">(still running)</t>
  </si>
  <si>
    <t xml:space="preserve">TiFe2H0.75 (int)</t>
  </si>
  <si>
    <t xml:space="preserve">(0, 0.5, 0.5), (0.5, 0, 0.5), (0.5, 0.5, 0)</t>
  </si>
  <si>
    <t xml:space="preserve">TiFe2H (int)</t>
  </si>
  <si>
    <t xml:space="preserve">(0, 0, 0.691), (0, 0, 0.191), (0.928, 0.464, 0.399), (0.637, 0.934, 0.551)</t>
  </si>
  <si>
    <t xml:space="preserve">(0, 0, 0.191), (0.464, 0.536, 0.899), (0, 0.5, 0.5), (0.5, 0, 0.5)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</si>
</sst>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0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D23" activeCellId="0" sqref="D23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26.56"/>
    <col collapsed="false" customWidth="true" hidden="false" outlineLevel="0" max="2" min="2" style="1" width="14"/>
    <col collapsed="false" customWidth="true" hidden="false" outlineLevel="0" max="3" min="3" style="1" width="68.2"/>
    <col collapsed="false" customWidth="true" hidden="false" outlineLevel="0" max="4" min="4" style="1" width="40"/>
    <col collapsed="false" customWidth="true" hidden="false" outlineLevel="0" max="5" min="5" style="1" width="13.88"/>
    <col collapsed="false" customWidth="true" hidden="false" outlineLevel="0" max="6" min="6" style="1" width="17.33"/>
    <col collapsed="false" customWidth="true" hidden="false" outlineLevel="0" max="7" min="7" style="1" width="15.22"/>
    <col collapsed="false" customWidth="true" hidden="false" outlineLevel="0" max="8" min="8" style="1" width="24.78"/>
    <col collapsed="false" customWidth="true" hidden="false" outlineLevel="0" max="9" min="9" style="1" width="29.44"/>
    <col collapsed="false" customWidth="true" hidden="false" outlineLevel="0" max="10" min="10" style="1" width="13.56"/>
  </cols>
  <sheetData>
    <row r="1" customFormat="false" ht="12.75" hidden="false" customHeight="false" outlineLevel="0" collapsed="false"/>
    <row r="2" customFormat="false" ht="12.75" hidden="false" customHeight="false" outlineLevel="0" collapsed="false"/>
    <row r="3" customFormat="false" ht="12.75" hidden="false" customHeight="false" outlineLevel="0" collapsed="false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customFormat="false" ht="12.75" hidden="false" customHeight="true" outlineLevel="0" collapsed="false">
      <c r="B4" s="1" t="s">
        <v>10</v>
      </c>
      <c r="C4" s="1" t="s">
        <v>11</v>
      </c>
      <c r="D4" s="1" t="s">
        <v>11</v>
      </c>
      <c r="E4" s="1" t="n">
        <v>173.9675</v>
      </c>
      <c r="G4" s="1" t="n">
        <v>-448.58686914</v>
      </c>
    </row>
    <row r="5" customFormat="false" ht="12.75" hidden="false" customHeight="false" outlineLevel="0" collapsed="false">
      <c r="B5" s="1" t="s">
        <v>12</v>
      </c>
      <c r="C5" s="2" t="s">
        <v>13</v>
      </c>
      <c r="D5" s="1" t="s">
        <v>13</v>
      </c>
      <c r="E5" s="1" t="n">
        <v>20.31028</v>
      </c>
      <c r="G5" s="1" t="n">
        <v>-1</v>
      </c>
    </row>
    <row r="6" customFormat="false" ht="12.75" hidden="false" customHeight="false" outlineLevel="0" collapsed="false"/>
    <row r="7" customFormat="false" ht="12.75" hidden="false" customHeight="false" outlineLevel="0" collapsed="false"/>
    <row r="8" customFormat="false" ht="12.75" hidden="false" customHeight="false" outlineLevel="0" collapsed="false">
      <c r="B8" s="1" t="s">
        <v>14</v>
      </c>
    </row>
    <row r="9" customFormat="false" ht="12.75" hidden="false" customHeight="false" outlineLevel="0" collapsed="false">
      <c r="B9" s="1" t="s">
        <v>15</v>
      </c>
      <c r="C9" s="1" t="s">
        <v>11</v>
      </c>
      <c r="D9" s="1" t="s">
        <v>11</v>
      </c>
      <c r="E9" s="3" t="n">
        <v>1034.53574</v>
      </c>
      <c r="F9" s="1" t="s">
        <v>11</v>
      </c>
      <c r="G9" s="3" t="n">
        <v>-3111.44162045</v>
      </c>
      <c r="K9" s="1" t="n">
        <v>0</v>
      </c>
    </row>
    <row r="10" customFormat="false" ht="12.75" hidden="false" customHeight="false" outlineLevel="0" collapsed="false"/>
    <row r="11" customFormat="false" ht="12.75" hidden="false" customHeight="false" outlineLevel="0" collapsed="false">
      <c r="B11" s="1" t="s">
        <v>16</v>
      </c>
      <c r="C11" s="1" t="s">
        <v>17</v>
      </c>
      <c r="D11" s="1" t="s">
        <v>18</v>
      </c>
    </row>
    <row r="12" customFormat="false" ht="12.75" hidden="false" customHeight="false" outlineLevel="0" collapsed="false">
      <c r="B12" s="1" t="s">
        <v>19</v>
      </c>
      <c r="C12" s="1" t="s">
        <v>20</v>
      </c>
      <c r="D12" s="1" t="s">
        <v>20</v>
      </c>
      <c r="E12" s="1" t="n">
        <v>1058.96494</v>
      </c>
      <c r="F12" s="1" t="n">
        <f aca="false">E12/$E$9*100 - 100</f>
        <v>2.36136839506386</v>
      </c>
      <c r="G12" s="3" t="n">
        <v>-3113.62742719</v>
      </c>
      <c r="H12" s="1" t="n">
        <f aca="false">(G12- G$9 - K12*G$5)/K12</f>
        <v>-0.0929033700001583</v>
      </c>
      <c r="K12" s="1" t="n">
        <v>2</v>
      </c>
    </row>
    <row r="13" customFormat="false" ht="12.75" hidden="false" customHeight="true" outlineLevel="0" collapsed="false">
      <c r="B13" s="1" t="s">
        <v>21</v>
      </c>
      <c r="C13" s="1" t="s">
        <v>22</v>
      </c>
      <c r="D13" s="1" t="s">
        <v>18</v>
      </c>
      <c r="K13" s="1" t="n">
        <v>2</v>
      </c>
    </row>
    <row r="14" customFormat="false" ht="12.75" hidden="false" customHeight="true" outlineLevel="0" collapsed="false">
      <c r="B14" s="1" t="s">
        <v>23</v>
      </c>
      <c r="C14" s="1" t="s">
        <v>24</v>
      </c>
      <c r="D14" s="1" t="s">
        <v>24</v>
      </c>
      <c r="E14" s="3" t="n">
        <v>1078.59827</v>
      </c>
      <c r="F14" s="1" t="n">
        <f aca="false">E14/$E$9*100 - 100</f>
        <v>4.25915976571287</v>
      </c>
      <c r="G14" s="3" t="n">
        <v>-3113.60006707</v>
      </c>
      <c r="H14" s="1" t="n">
        <f aca="false">(G14- G$9 - K14*G$5)/K14</f>
        <v>-0.0792233100000885</v>
      </c>
      <c r="K14" s="1" t="n">
        <v>2</v>
      </c>
    </row>
    <row r="15" customFormat="false" ht="12.75" hidden="false" customHeight="true" outlineLevel="0" collapsed="false">
      <c r="B15" s="1" t="s">
        <v>25</v>
      </c>
      <c r="C15" s="1" t="s">
        <v>26</v>
      </c>
      <c r="D15" s="1" t="s">
        <v>18</v>
      </c>
      <c r="K15" s="1" t="n">
        <v>4</v>
      </c>
    </row>
    <row r="16" customFormat="false" ht="12.75" hidden="false" customHeight="true" outlineLevel="0" collapsed="false">
      <c r="B16" s="1" t="s">
        <v>27</v>
      </c>
      <c r="C16" s="1" t="s">
        <v>28</v>
      </c>
      <c r="D16" s="1" t="s">
        <v>29</v>
      </c>
      <c r="E16" s="3" t="n">
        <v>1215.53883</v>
      </c>
      <c r="F16" s="1" t="n">
        <f aca="false">E16/$E$9*100 - 100</f>
        <v>17.4960692996454</v>
      </c>
      <c r="G16" s="3" t="n">
        <v>-3118.00422007</v>
      </c>
      <c r="H16" s="1" t="n">
        <f aca="false">(G16- G$9 - K16*G$5)/K16</f>
        <v>-0.0937666033333547</v>
      </c>
      <c r="K16" s="1" t="n">
        <v>6</v>
      </c>
    </row>
    <row r="17" customFormat="false" ht="12.75" hidden="false" customHeight="true" outlineLevel="0" collapsed="false">
      <c r="B17" s="1" t="s">
        <v>30</v>
      </c>
      <c r="C17" s="1" t="s">
        <v>31</v>
      </c>
      <c r="D17" s="1" t="s">
        <v>32</v>
      </c>
    </row>
    <row r="18" customFormat="false" ht="12.75" hidden="false" customHeight="true" outlineLevel="0" collapsed="false">
      <c r="B18" s="1" t="s">
        <v>33</v>
      </c>
      <c r="C18" s="1" t="s">
        <v>34</v>
      </c>
      <c r="D18" s="1" t="s">
        <v>32</v>
      </c>
    </row>
    <row r="19" customFormat="false" ht="12.75" hidden="false" customHeight="true" outlineLevel="0" collapsed="false">
      <c r="B19" s="1" t="s">
        <v>35</v>
      </c>
      <c r="C19" s="1" t="s">
        <v>36</v>
      </c>
      <c r="D19" s="1" t="s">
        <v>32</v>
      </c>
    </row>
    <row r="20" customFormat="false" ht="12.75" hidden="false" customHeight="true" outlineLevel="0" collapsed="false">
      <c r="B20" s="1" t="s">
        <v>35</v>
      </c>
      <c r="C20" s="1" t="s">
        <v>37</v>
      </c>
      <c r="D20" s="1" t="s">
        <v>32</v>
      </c>
    </row>
    <row r="24" customFormat="false" ht="12.75" hidden="false" customHeight="true" outlineLevel="0" collapsed="false">
      <c r="K24" s="1"/>
    </row>
    <row r="25" customFormat="false" ht="12.75" hidden="false" customHeight="true" outlineLevel="0" collapsed="false">
      <c r="K25" s="1"/>
    </row>
    <row r="26" customFormat="false" ht="12.75" hidden="false" customHeight="true" outlineLevel="0" collapsed="false">
      <c r="K26" s="1"/>
    </row>
    <row r="27" customFormat="false" ht="12.75" hidden="false" customHeight="true" outlineLevel="0" collapsed="false">
      <c r="K27" s="1"/>
    </row>
    <row r="28" customFormat="false" ht="12.75" hidden="false" customHeight="true" outlineLevel="0" collapsed="false">
      <c r="K28" s="1"/>
    </row>
    <row r="29" customFormat="false" ht="12.75" hidden="false" customHeight="true" outlineLevel="0" collapsed="false">
      <c r="K29" s="1"/>
    </row>
    <row r="30" customFormat="false" ht="12.75" hidden="false" customHeight="true" outlineLevel="0" collapsed="false">
      <c r="K3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2025-11-17T01:20:04Z</dcterms:created>
  <dc:creator/>
  <dc:description/>
  <dc:language>en-US</dc:language>
  <cp:lastModifiedBy/>
  <dcterms:modified xsi:type="dcterms:W3CDTF">2025-12-01T19:00:07Z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